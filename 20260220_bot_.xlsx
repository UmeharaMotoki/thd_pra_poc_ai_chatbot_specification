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126189\Downloads\"/>
    </mc:Choice>
  </mc:AlternateContent>
  <xr:revisionPtr revIDLastSave="0" documentId="13_ncr:1_{158E0E68-395F-4E50-BCA2-6C4CCAAE89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サマリ" sheetId="3" r:id="rId1"/>
    <sheet name="計算" sheetId="1" r:id="rId2"/>
    <sheet name="単価表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D48" i="1"/>
  <c r="D46" i="1"/>
  <c r="D45" i="1"/>
  <c r="D20" i="1"/>
  <c r="E39" i="1"/>
  <c r="D38" i="1"/>
  <c r="E38" i="1" s="1"/>
  <c r="D37" i="1"/>
  <c r="E37" i="1" s="1"/>
  <c r="D36" i="1"/>
  <c r="E36" i="1" s="1"/>
  <c r="E26" i="1"/>
  <c r="D26" i="1"/>
  <c r="E24" i="1"/>
  <c r="D24" i="1"/>
  <c r="E23" i="1"/>
  <c r="D23" i="1"/>
  <c r="E21" i="1"/>
  <c r="D21" i="1"/>
  <c r="E20" i="1"/>
  <c r="E48" i="1" l="1"/>
  <c r="D40" i="1"/>
  <c r="E28" i="1"/>
  <c r="E29" i="1" s="1"/>
  <c r="E46" i="1"/>
  <c r="D47" i="1"/>
  <c r="E47" i="1" s="1"/>
  <c r="E30" i="1" l="1"/>
  <c r="E31" i="1" s="1"/>
  <c r="E56" i="1" s="1"/>
  <c r="E40" i="1"/>
  <c r="E57" i="1" s="1"/>
  <c r="D57" i="1"/>
  <c r="D56" i="1"/>
  <c r="E50" i="1"/>
  <c r="D58" i="1" l="1"/>
  <c r="D59" i="1" s="1"/>
  <c r="D60" i="1" s="1"/>
  <c r="E51" i="1"/>
  <c r="E58" i="1" s="1"/>
  <c r="E59" i="1" s="1"/>
  <c r="E60" i="1" s="1"/>
</calcChain>
</file>

<file path=xl/sharedStrings.xml><?xml version="1.0" encoding="utf-8"?>
<sst xmlns="http://schemas.openxmlformats.org/spreadsheetml/2006/main" count="219" uniqueCount="184">
  <si>
    <t>EC業務ナレッジ チャットボット 月額コスト試算</t>
  </si>
  <si>
    <t>※ 黄色セルの数値を変更すると自動再計算されます</t>
  </si>
  <si>
    <t>■ 主要変数</t>
  </si>
  <si>
    <t>項目</t>
  </si>
  <si>
    <t>値</t>
  </si>
  <si>
    <t>単位</t>
  </si>
  <si>
    <t>説明</t>
  </si>
  <si>
    <t>ナレッジ更新回数/月</t>
  </si>
  <si>
    <t>回/月</t>
  </si>
  <si>
    <t>週次=4, 月次=1</t>
  </si>
  <si>
    <t>1回あたり処理資料数</t>
  </si>
  <si>
    <t>件</t>
  </si>
  <si>
    <t>KMに投入する資料数</t>
  </si>
  <si>
    <t>1資料あたり平均文字数</t>
  </si>
  <si>
    <t>字</t>
  </si>
  <si>
    <t>元資料のテキスト量</t>
  </si>
  <si>
    <t>1資料あたり平均画像数</t>
  </si>
  <si>
    <t>枚</t>
  </si>
  <si>
    <t>Excel/PDF内の画像・表・図</t>
  </si>
  <si>
    <t>1日あたりチャット質問数</t>
  </si>
  <si>
    <t>件/日</t>
  </si>
  <si>
    <t>料金T25+契約T25想定</t>
  </si>
  <si>
    <t>月間営業日</t>
  </si>
  <si>
    <t>日</t>
  </si>
  <si>
    <t>Agent平均検索ラウンド数</t>
  </si>
  <si>
    <t>回</t>
  </si>
  <si>
    <t>FC1回+追加0.5回</t>
  </si>
  <si>
    <t>為替レート (USD→JPY)</t>
  </si>
  <si>
    <t>円/USD</t>
  </si>
  <si>
    <t>① ナレッジ更新コスト（Knowledge Maker API費用）</t>
  </si>
  <si>
    <t>計算式</t>
  </si>
  <si>
    <t>数量</t>
  </si>
  <si>
    <t>コスト(USD)</t>
  </si>
  <si>
    <t xml:space="preserve">  Input (画像×1500tok)</t>
  </si>
  <si>
    <t>画像数 × 1500 × $0.25/1M</t>
  </si>
  <si>
    <t xml:space="preserve">  Output (画像×500tok)</t>
  </si>
  <si>
    <t>画像数 × 500 × $2.00/1M</t>
  </si>
  <si>
    <t xml:space="preserve">  Input (文字数×0.5tok)</t>
  </si>
  <si>
    <t>文字数 × 0.5 × $1.25/1M</t>
  </si>
  <si>
    <t xml:space="preserve">  Output (≒Input同量)</t>
  </si>
  <si>
    <t>文字数 × 0.5 × $10.00/1M</t>
  </si>
  <si>
    <t>Step3: デプロイ (gpt-5.1)</t>
  </si>
  <si>
    <t xml:space="preserve">  構造提案 + 要約生成</t>
  </si>
  <si>
    <t>(10K+2K×資料数)in + (8K+2K×資料数)out</t>
  </si>
  <si>
    <t>1資料あたりコスト (USD)</t>
  </si>
  <si>
    <t>1回あたりコスト (USD)</t>
  </si>
  <si>
    <t>月間コスト (USD)</t>
  </si>
  <si>
    <t>★ 月間コスト (JPY)</t>
  </si>
  <si>
    <t>② インフラコスト（Azure固定費）</t>
  </si>
  <si>
    <t>リソース</t>
  </si>
  <si>
    <t>プラン</t>
  </si>
  <si>
    <t>月額(USD)</t>
  </si>
  <si>
    <t>月額(JPY)</t>
  </si>
  <si>
    <t>Azure AI Search</t>
  </si>
  <si>
    <t>Basic</t>
  </si>
  <si>
    <t>App Service Plan</t>
  </si>
  <si>
    <t>B1</t>
  </si>
  <si>
    <t>Azure SQL Database</t>
  </si>
  <si>
    <t>Basic 5DTU</t>
  </si>
  <si>
    <t>S0 (従量課金)</t>
  </si>
  <si>
    <t>③ Chatbot回答コスト（従量課金）</t>
  </si>
  <si>
    <t>月間質問数</t>
  </si>
  <si>
    <t>gpt-5-mini Input</t>
  </si>
  <si>
    <t>gpt-5-mini Output</t>
  </si>
  <si>
    <t>質問数 × 500tok</t>
  </si>
  <si>
    <t>Embedding (クエリベクトル化)</t>
  </si>
  <si>
    <t>質問数 × 100tok × ラウンド数</t>
  </si>
  <si>
    <t>📊 月額コスト まとめ</t>
  </si>
  <si>
    <t>カテゴリ</t>
  </si>
  <si>
    <t>① ナレッジ更新コスト</t>
  </si>
  <si>
    <t>② インフラコスト</t>
  </si>
  <si>
    <t>③ Chatbot回答コスト</t>
  </si>
  <si>
    <t>月額合計</t>
  </si>
  <si>
    <t>年額概算</t>
  </si>
  <si>
    <t>※ コストの大部分はAzure AI Search の固定費（Basic ¥11,000/月）が占めます</t>
  </si>
  <si>
    <t>※ ナレッジ更新は変更のあったファイルのみ処理するため、実際はこれより低くなります</t>
  </si>
  <si>
    <t>※ 単価は 2026年2月時点の Azure OpenAI 料金に基づきます</t>
  </si>
  <si>
    <t>単価表・参照データ（2026年2月時点）</t>
  </si>
  <si>
    <t>モデル名</t>
  </si>
  <si>
    <t>Input ($/1Mトークン)</t>
  </si>
  <si>
    <t>Output ($/1Mトークン)</t>
  </si>
  <si>
    <t>gpt-5-mini</t>
  </si>
  <si>
    <t>gpt-5.1</t>
  </si>
  <si>
    <t>text-embedding-3-large</t>
  </si>
  <si>
    <t>—</t>
  </si>
  <si>
    <t>■ Azure 固定費（月額）</t>
  </si>
  <si>
    <t>月額 (USD)</t>
  </si>
  <si>
    <t>■ Knowledge Maker 処理パラメータ</t>
  </si>
  <si>
    <t>パラメータ</t>
  </si>
  <si>
    <t>備考</t>
  </si>
  <si>
    <t>1画像あたり Input トークン</t>
  </si>
  <si>
    <t>Vision API prompt + image</t>
  </si>
  <si>
    <t>1画像あたり Output トークン</t>
  </si>
  <si>
    <t>画像説明テキスト</t>
  </si>
  <si>
    <t>日本語 文字→トークン 変換係数</t>
  </si>
  <si>
    <t>1文字 ≒ 0.5トークン</t>
  </si>
  <si>
    <t>Step2 テンプレートトークン</t>
  </si>
  <si>
    <t>フォーマット指示</t>
  </si>
  <si>
    <t>Step3 構造提案 Input トークン</t>
  </si>
  <si>
    <t>全資料要約を含む</t>
  </si>
  <si>
    <t>Step3 構造提案 Output トークン</t>
  </si>
  <si>
    <t>フォルダ構造JSON</t>
  </si>
  <si>
    <t>Step3 要約 Input トークン/ファイル</t>
  </si>
  <si>
    <t>Step3 要約 Output トークン/ファイル</t>
  </si>
  <si>
    <t>■ Chat 処理パラメータ</t>
  </si>
  <si>
    <t>1質問あたり Input トークン</t>
  </si>
  <si>
    <t>1質問あたり Output トークン</t>
  </si>
  <si>
    <t>回答テキスト</t>
  </si>
  <si>
    <t>Embedding クエリトークン/質問</t>
  </si>
  <si>
    <t>質問文のベクトル化</t>
  </si>
  <si>
    <t>■ 現在のchatbot実績値（参考）</t>
  </si>
  <si>
    <t>登録ナレッジ数</t>
  </si>
  <si>
    <t>54本</t>
  </si>
  <si>
    <t>5つの元資料から分割</t>
  </si>
  <si>
    <t>チャンク総数</t>
  </si>
  <si>
    <t>1,538件</t>
  </si>
  <si>
    <t>####見出し単位で分割</t>
  </si>
  <si>
    <t>総文字数（変換後MD）</t>
  </si>
  <si>
    <t>1,285,439字</t>
  </si>
  <si>
    <t>約128万文字</t>
  </si>
  <si>
    <t>画像参照数</t>
  </si>
  <si>
    <t>1,086件</t>
  </si>
  <si>
    <t>AI-OCRでテキスト化済み</t>
  </si>
  <si>
    <t>元資料数</t>
  </si>
  <si>
    <t>5件</t>
  </si>
  <si>
    <t>契約T手順書/料金T業務/他3件</t>
  </si>
  <si>
    <t>検索精度</t>
  </si>
  <si>
    <t>100%</t>
  </si>
  <si>
    <t>20問テスト</t>
  </si>
  <si>
    <t>E2Eレイテンシ</t>
  </si>
  <si>
    <t>18.5秒</t>
  </si>
  <si>
    <t>LLM推論87%占有</t>
  </si>
  <si>
    <t>■ 元資料（inputファイル）の内訳</t>
  </si>
  <si>
    <t>元資料名</t>
  </si>
  <si>
    <t>生成MD数</t>
  </si>
  <si>
    <t>変換後文字数</t>
  </si>
  <si>
    <t>契約T手順書</t>
  </si>
  <si>
    <t>27本</t>
  </si>
  <si>
    <t>~387,000字</t>
  </si>
  <si>
    <t>~277枚</t>
  </si>
  <si>
    <t>【料金Ｔ】業務</t>
  </si>
  <si>
    <t>24本</t>
  </si>
  <si>
    <t>~345,000字</t>
  </si>
  <si>
    <t>~249枚</t>
  </si>
  <si>
    <t>コンシェルジュ業務一覧表</t>
  </si>
  <si>
    <t>1本</t>
  </si>
  <si>
    <t>~3,000字</t>
  </si>
  <si>
    <t>0枚</t>
  </si>
  <si>
    <t>【EC】料金Tからのお知らせ</t>
  </si>
  <si>
    <t>~467,000字</t>
  </si>
  <si>
    <t>~515枚</t>
  </si>
  <si>
    <t>【RPA】シナリオ台帳</t>
  </si>
  <si>
    <t>~34,000字</t>
  </si>
  <si>
    <t>合計</t>
  </si>
  <si>
    <t>~1,236,000字</t>
  </si>
  <si>
    <t>~1,041枚</t>
  </si>
  <si>
    <t>Step2: 綺麗化 (gpt-5.1)</t>
    <rPh sb="7" eb="10">
      <t>キレイカ</t>
    </rPh>
    <phoneticPr fontId="11"/>
  </si>
  <si>
    <t>Step1: 文字起こし (gpt-5-mini Vision)</t>
    <rPh sb="7" eb="10">
      <t>モジオ</t>
    </rPh>
    <phoneticPr fontId="11"/>
  </si>
  <si>
    <t>コスト区分</t>
    <rPh sb="3" eb="5">
      <t>クブン</t>
    </rPh>
    <phoneticPr fontId="11"/>
  </si>
  <si>
    <t>計算式</t>
    <rPh sb="0" eb="2">
      <t>ケイサン</t>
    </rPh>
    <rPh sb="2" eb="3">
      <t>シキ</t>
    </rPh>
    <phoneticPr fontId="11"/>
  </si>
  <si>
    <t>日あたり質問数×利用者数×営業日</t>
    <rPh sb="8" eb="12">
      <t>リヨウシャスウ</t>
    </rPh>
    <phoneticPr fontId="11"/>
  </si>
  <si>
    <t>利用者数</t>
    <rPh sb="0" eb="4">
      <t>リヨウシャスウ</t>
    </rPh>
    <phoneticPr fontId="11"/>
  </si>
  <si>
    <t>人</t>
    <rPh sb="0" eb="1">
      <t>ニン</t>
    </rPh>
    <phoneticPr fontId="11"/>
  </si>
  <si>
    <t>料金T・契約Tの平均稼働人数</t>
    <rPh sb="4" eb="6">
      <t>ケイヤク</t>
    </rPh>
    <rPh sb="8" eb="10">
      <t>ヘイキン</t>
    </rPh>
    <rPh sb="10" eb="12">
      <t>カドウ</t>
    </rPh>
    <rPh sb="12" eb="14">
      <t>ニンズウ</t>
    </rPh>
    <phoneticPr fontId="11"/>
  </si>
  <si>
    <t>4週28日間のうち週末は計8日間あるが稼働数が縮小するとして2日分で計上</t>
    <rPh sb="1" eb="2">
      <t>シュウ</t>
    </rPh>
    <rPh sb="4" eb="6">
      <t>ニチアイダ</t>
    </rPh>
    <rPh sb="9" eb="11">
      <t>シュウマツ</t>
    </rPh>
    <rPh sb="12" eb="13">
      <t>ケイ</t>
    </rPh>
    <rPh sb="14" eb="15">
      <t>ニチ</t>
    </rPh>
    <rPh sb="15" eb="16">
      <t>アイダ</t>
    </rPh>
    <rPh sb="19" eb="22">
      <t>カドウスウ</t>
    </rPh>
    <rPh sb="23" eb="25">
      <t>シュクショウ</t>
    </rPh>
    <rPh sb="31" eb="32">
      <t>ニチ</t>
    </rPh>
    <rPh sb="32" eb="33">
      <t>ブン</t>
    </rPh>
    <rPh sb="34" eb="36">
      <t>ケイジョウ</t>
    </rPh>
    <phoneticPr fontId="11"/>
  </si>
  <si>
    <t>月間利用数/トークン数</t>
    <rPh sb="2" eb="5">
      <t>リヨウスウ</t>
    </rPh>
    <phoneticPr fontId="11"/>
  </si>
  <si>
    <t>1,617~5,659</t>
    <phoneticPr fontId="11"/>
  </si>
  <si>
    <t>Azure OpenAI*</t>
    <phoneticPr fontId="11"/>
  </si>
  <si>
    <t>*Azure OpenAIは従量課金のため、API維持のインフラコストはかからない。従量課金分は以下のチャットボットの回答コストにて計上。</t>
    <rPh sb="14" eb="18">
      <t>ジュウリョウカキン</t>
    </rPh>
    <rPh sb="25" eb="27">
      <t>イジ</t>
    </rPh>
    <rPh sb="42" eb="47">
      <t>ジュウリョウカキンブン</t>
    </rPh>
    <rPh sb="48" eb="50">
      <t>イカ</t>
    </rPh>
    <rPh sb="59" eb="61">
      <t>カイトウ</t>
    </rPh>
    <rPh sb="66" eb="68">
      <t>ケイジョウ</t>
    </rPh>
    <phoneticPr fontId="11"/>
  </si>
  <si>
    <t>月額(円)</t>
    <rPh sb="3" eb="4">
      <t>エン</t>
    </rPh>
    <phoneticPr fontId="11"/>
  </si>
  <si>
    <t>質問数 × 4000tok × ラウンド数</t>
    <phoneticPr fontId="11"/>
  </si>
  <si>
    <t>利用者数×質問回数×稼働日×1QAあたりの費用で試算
30人×20回×22営業×0.38円 = 4,989.5円</t>
    <rPh sb="0" eb="3">
      <t>リヨウシャ</t>
    </rPh>
    <rPh sb="3" eb="4">
      <t>スウ</t>
    </rPh>
    <rPh sb="5" eb="7">
      <t>シツモン</t>
    </rPh>
    <rPh sb="7" eb="9">
      <t>カイスウ</t>
    </rPh>
    <rPh sb="10" eb="13">
      <t>カドウビ</t>
    </rPh>
    <rPh sb="21" eb="23">
      <t>ヒヨウ</t>
    </rPh>
    <rPh sb="24" eb="26">
      <t>シサン</t>
    </rPh>
    <rPh sb="29" eb="30">
      <t>ニン</t>
    </rPh>
    <rPh sb="33" eb="34">
      <t>カイ</t>
    </rPh>
    <rPh sb="37" eb="39">
      <t>エイギョウ</t>
    </rPh>
    <rPh sb="44" eb="45">
      <t>エン</t>
    </rPh>
    <rPh sb="55" eb="56">
      <t>エン</t>
    </rPh>
    <phoneticPr fontId="11"/>
  </si>
  <si>
    <r>
      <t>データソース数×更新コスト×更新回数（週1回で月4回）
4つ×100-350円×月4回=1,617~</t>
    </r>
    <r>
      <rPr>
        <b/>
        <sz val="11"/>
        <color theme="1"/>
        <rFont val="Meiryo UI"/>
        <family val="3"/>
        <charset val="128"/>
      </rPr>
      <t>5,659円</t>
    </r>
    <r>
      <rPr>
        <sz val="11"/>
        <color theme="1"/>
        <rFont val="Meiryo UI"/>
        <family val="3"/>
        <charset val="128"/>
      </rPr>
      <t xml:space="preserve">
⇒更新差分の量に応じてコストは変動想定</t>
    </r>
    <rPh sb="19" eb="20">
      <t>シュウ</t>
    </rPh>
    <rPh sb="21" eb="22">
      <t>カイ</t>
    </rPh>
    <rPh sb="23" eb="24">
      <t>ツキ</t>
    </rPh>
    <rPh sb="25" eb="26">
      <t>カイ</t>
    </rPh>
    <rPh sb="55" eb="56">
      <t>エン</t>
    </rPh>
    <rPh sb="58" eb="60">
      <t>コウシン</t>
    </rPh>
    <rPh sb="60" eb="62">
      <t>サブン</t>
    </rPh>
    <rPh sb="63" eb="64">
      <t>リョウ</t>
    </rPh>
    <rPh sb="65" eb="66">
      <t>オウ</t>
    </rPh>
    <rPh sb="72" eb="74">
      <t>ヘンドウ</t>
    </rPh>
    <rPh sb="74" eb="76">
      <t>ソウテイ</t>
    </rPh>
    <phoneticPr fontId="11"/>
  </si>
  <si>
    <t>242,892円~291,396円</t>
    <phoneticPr fontId="11"/>
  </si>
  <si>
    <t>20,241円  ~  24,283円</t>
    <rPh sb="6" eb="7">
      <t>エン</t>
    </rPh>
    <phoneticPr fontId="11"/>
  </si>
  <si>
    <t>年間合計</t>
    <rPh sb="0" eb="2">
      <t>ネンカン</t>
    </rPh>
    <phoneticPr fontId="11"/>
  </si>
  <si>
    <t>■ナレッジボット利用コスト</t>
    <rPh sb="8" eb="10">
      <t>リヨウ</t>
    </rPh>
    <phoneticPr fontId="11"/>
  </si>
  <si>
    <t>システムプロンプト + 検索結果20件</t>
    <phoneticPr fontId="11"/>
  </si>
  <si>
    <t>■料金・契約チームに限定した場合のコスト合計</t>
    <rPh sb="1" eb="3">
      <t>リョウキン</t>
    </rPh>
    <rPh sb="4" eb="6">
      <t>ケイヤク</t>
    </rPh>
    <rPh sb="10" eb="12">
      <t>ゲンテイ</t>
    </rPh>
    <rPh sb="14" eb="16">
      <t>バアイ</t>
    </rPh>
    <rPh sb="20" eb="22">
      <t>ゴウケイ</t>
    </rPh>
    <phoneticPr fontId="11"/>
  </si>
  <si>
    <t>■EC全体に拡大した場合の超概算</t>
    <rPh sb="3" eb="5">
      <t>ゼンタイ</t>
    </rPh>
    <rPh sb="6" eb="8">
      <t>カクダイ</t>
    </rPh>
    <rPh sb="10" eb="12">
      <t>バアイ</t>
    </rPh>
    <rPh sb="13" eb="14">
      <t>チョウ</t>
    </rPh>
    <rPh sb="14" eb="16">
      <t>ガイサン</t>
    </rPh>
    <phoneticPr fontId="11"/>
  </si>
  <si>
    <t>30人程度が利用する構成。検索エンジン（Azure AI Search）、サーバー（App Service Plan）、データベース（Azure SQL Database）をいずれもBasic想定
※50-200人規模で利用する場合はサーバー・データベースはStandardプランに変更し+10,000円程度が発生</t>
    <rPh sb="2" eb="3">
      <t>ニン</t>
    </rPh>
    <rPh sb="3" eb="5">
      <t>テイド</t>
    </rPh>
    <rPh sb="6" eb="8">
      <t>リヨウ</t>
    </rPh>
    <rPh sb="10" eb="12">
      <t>コウセイ</t>
    </rPh>
    <rPh sb="13" eb="15">
      <t>ケンサク</t>
    </rPh>
    <rPh sb="96" eb="98">
      <t>ソウテイ</t>
    </rPh>
    <rPh sb="106" eb="107">
      <t>ニン</t>
    </rPh>
    <rPh sb="107" eb="109">
      <t>キボ</t>
    </rPh>
    <rPh sb="110" eb="112">
      <t>リヨウ</t>
    </rPh>
    <rPh sb="114" eb="116">
      <t>バアイ</t>
    </rPh>
    <rPh sb="141" eb="143">
      <t>ヘンコウ</t>
    </rPh>
    <rPh sb="151" eb="154">
      <t>エンテイド</t>
    </rPh>
    <rPh sb="155" eb="157">
      <t>ハッセイ</t>
    </rPh>
    <phoneticPr fontId="11"/>
  </si>
  <si>
    <t>5~5.5万程度</t>
    <rPh sb="5" eb="6">
      <t>マン</t>
    </rPh>
    <rPh sb="6" eb="8">
      <t>テイド</t>
    </rPh>
    <phoneticPr fontId="11"/>
  </si>
  <si>
    <t>60~67万程度</t>
    <rPh sb="5" eb="6">
      <t>マン</t>
    </rPh>
    <rPh sb="6" eb="8">
      <t>テイド</t>
    </rPh>
    <phoneticPr fontId="11"/>
  </si>
  <si>
    <t>インフラ＋1万、回答コストが150名ほどで約5倍の2.5万円と仮定すると</t>
    <rPh sb="6" eb="7">
      <t>マン</t>
    </rPh>
    <rPh sb="8" eb="10">
      <t>カイトウ</t>
    </rPh>
    <rPh sb="17" eb="18">
      <t>メイ</t>
    </rPh>
    <rPh sb="21" eb="22">
      <t>ヤク</t>
    </rPh>
    <rPh sb="23" eb="24">
      <t>バイ</t>
    </rPh>
    <rPh sb="28" eb="29">
      <t>マン</t>
    </rPh>
    <rPh sb="29" eb="30">
      <t>エン</t>
    </rPh>
    <rPh sb="31" eb="33">
      <t>カテイ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</si>
</sst>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\$#,##0.0000"/>
    <numFmt numFmtId="178" formatCode="\$#,##0.00"/>
    <numFmt numFmtId="183" formatCode="#,##0.0;[Red]\-#,##0.0"/>
  </numFmts>
  <fonts count="15" x14ac:knownFonts="1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666666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0"/>
      <color rgb="FF666666"/>
      <name val="Meiryo UI"/>
      <family val="3"/>
      <charset val="128"/>
    </font>
    <font>
      <sz val="9"/>
      <color rgb="FF666666"/>
      <name val="Meiryo UI"/>
      <family val="3"/>
      <charset val="128"/>
    </font>
    <font>
      <b/>
      <sz val="13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38" fontId="12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3" fontId="7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176" fontId="7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2" fillId="4" borderId="0" xfId="0" applyFont="1" applyFill="1"/>
    <xf numFmtId="0" fontId="9" fillId="0" borderId="1" xfId="0" applyFont="1" applyBorder="1"/>
    <xf numFmtId="3" fontId="2" fillId="0" borderId="1" xfId="0" applyNumberFormat="1" applyFont="1" applyBorder="1"/>
    <xf numFmtId="177" fontId="2" fillId="0" borderId="1" xfId="0" applyNumberFormat="1" applyFont="1" applyBorder="1"/>
    <xf numFmtId="0" fontId="7" fillId="0" borderId="1" xfId="0" applyFont="1" applyBorder="1"/>
    <xf numFmtId="178" fontId="7" fillId="0" borderId="1" xfId="0" applyNumberFormat="1" applyFont="1" applyBorder="1"/>
    <xf numFmtId="178" fontId="2" fillId="0" borderId="1" xfId="0" applyNumberFormat="1" applyFont="1" applyBorder="1"/>
    <xf numFmtId="0" fontId="4" fillId="5" borderId="1" xfId="0" applyFont="1" applyFill="1" applyBorder="1"/>
    <xf numFmtId="0" fontId="2" fillId="5" borderId="1" xfId="0" applyFont="1" applyFill="1" applyBorder="1"/>
    <xf numFmtId="3" fontId="4" fillId="5" borderId="1" xfId="0" applyNumberFormat="1" applyFont="1" applyFill="1" applyBorder="1"/>
    <xf numFmtId="178" fontId="7" fillId="5" borderId="1" xfId="0" applyNumberFormat="1" applyFont="1" applyFill="1" applyBorder="1"/>
    <xf numFmtId="3" fontId="7" fillId="0" borderId="1" xfId="0" applyNumberFormat="1" applyFont="1" applyBorder="1"/>
    <xf numFmtId="178" fontId="10" fillId="6" borderId="1" xfId="0" applyNumberFormat="1" applyFont="1" applyFill="1" applyBorder="1"/>
    <xf numFmtId="3" fontId="10" fillId="6" borderId="1" xfId="0" applyNumberFormat="1" applyFont="1" applyFill="1" applyBorder="1"/>
    <xf numFmtId="178" fontId="4" fillId="6" borderId="1" xfId="0" applyNumberFormat="1" applyFont="1" applyFill="1" applyBorder="1"/>
    <xf numFmtId="3" fontId="4" fillId="6" borderId="1" xfId="0" applyNumberFormat="1" applyFont="1" applyFill="1" applyBorder="1"/>
    <xf numFmtId="178" fontId="6" fillId="0" borderId="1" xfId="0" applyNumberFormat="1" applyFont="1" applyBorder="1"/>
    <xf numFmtId="3" fontId="6" fillId="0" borderId="1" xfId="0" applyNumberFormat="1" applyFont="1" applyBorder="1"/>
    <xf numFmtId="176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/>
    <xf numFmtId="0" fontId="2" fillId="0" borderId="3" xfId="0" applyFont="1" applyBorder="1"/>
    <xf numFmtId="0" fontId="7" fillId="0" borderId="1" xfId="0" applyFont="1" applyBorder="1"/>
    <xf numFmtId="0" fontId="2" fillId="0" borderId="2" xfId="0" applyFont="1" applyBorder="1"/>
    <xf numFmtId="0" fontId="5" fillId="2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2" fillId="6" borderId="1" xfId="0" applyFont="1" applyFill="1" applyBorder="1"/>
    <xf numFmtId="0" fontId="10" fillId="6" borderId="1" xfId="0" applyFont="1" applyFill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Alignment="1">
      <alignment vertical="center"/>
    </xf>
    <xf numFmtId="183" fontId="2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13" fillId="7" borderId="1" xfId="0" applyFont="1" applyFill="1" applyBorder="1"/>
    <xf numFmtId="0" fontId="13" fillId="7" borderId="1" xfId="0" applyFont="1" applyFill="1" applyBorder="1" applyAlignment="1">
      <alignment horizontal="center"/>
    </xf>
    <xf numFmtId="40" fontId="2" fillId="0" borderId="0" xfId="1" applyNumberFormat="1" applyFont="1" applyAlignment="1"/>
    <xf numFmtId="0" fontId="13" fillId="0" borderId="0" xfId="0" applyFont="1"/>
    <xf numFmtId="38" fontId="13" fillId="0" borderId="0" xfId="1" applyFont="1" applyAlignment="1"/>
    <xf numFmtId="183" fontId="13" fillId="0" borderId="0" xfId="1" applyNumberFormat="1" applyFont="1" applyAlignment="1"/>
    <xf numFmtId="0" fontId="13" fillId="0" borderId="1" xfId="0" applyFont="1" applyBorder="1" applyAlignment="1">
      <alignment vertical="center"/>
    </xf>
    <xf numFmtId="0" fontId="14" fillId="0" borderId="0" xfId="0" applyFo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C0BF-0C4A-4C52-89B7-FADD1DF1640F}">
  <dimension ref="A1:C14"/>
  <sheetViews>
    <sheetView showGridLines="0" tabSelected="1" zoomScale="85" zoomScaleNormal="85" workbookViewId="0">
      <selection activeCell="B5" sqref="B5:C5"/>
    </sheetView>
  </sheetViews>
  <sheetFormatPr defaultRowHeight="15" x14ac:dyDescent="0.35"/>
  <cols>
    <col min="1" max="1" width="20.36328125" style="2" customWidth="1"/>
    <col min="2" max="2" width="25.1796875" style="2" bestFit="1" customWidth="1"/>
    <col min="3" max="3" width="92.7265625" style="2" customWidth="1"/>
    <col min="4" max="6" width="7.1796875" style="2" customWidth="1"/>
    <col min="7" max="16384" width="8.7265625" style="2"/>
  </cols>
  <sheetData>
    <row r="1" spans="1:3" ht="19.5" x14ac:dyDescent="0.45">
      <c r="A1" s="53" t="s">
        <v>176</v>
      </c>
    </row>
    <row r="2" spans="1:3" x14ac:dyDescent="0.35">
      <c r="A2" s="46" t="s">
        <v>158</v>
      </c>
      <c r="B2" s="47" t="s">
        <v>169</v>
      </c>
      <c r="C2" s="47" t="s">
        <v>159</v>
      </c>
    </row>
    <row r="3" spans="1:3" s="43" customFormat="1" ht="59.5" customHeight="1" x14ac:dyDescent="0.2">
      <c r="A3" s="52" t="s">
        <v>69</v>
      </c>
      <c r="B3" s="44" t="s">
        <v>166</v>
      </c>
      <c r="C3" s="45" t="s">
        <v>172</v>
      </c>
    </row>
    <row r="4" spans="1:3" s="43" customFormat="1" ht="59.5" customHeight="1" x14ac:dyDescent="0.2">
      <c r="A4" s="52" t="s">
        <v>70</v>
      </c>
      <c r="B4" s="44">
        <v>13635</v>
      </c>
      <c r="C4" s="45" t="s">
        <v>180</v>
      </c>
    </row>
    <row r="5" spans="1:3" s="43" customFormat="1" ht="59.5" customHeight="1" x14ac:dyDescent="0.2">
      <c r="A5" s="52" t="s">
        <v>71</v>
      </c>
      <c r="B5" s="44">
        <v>4989.5450000000001</v>
      </c>
      <c r="C5" s="45" t="s">
        <v>171</v>
      </c>
    </row>
    <row r="6" spans="1:3" x14ac:dyDescent="0.35">
      <c r="A6" s="42"/>
      <c r="B6" s="42"/>
      <c r="C6" s="42"/>
    </row>
    <row r="7" spans="1:3" x14ac:dyDescent="0.35">
      <c r="A7" s="2" t="s">
        <v>178</v>
      </c>
    </row>
    <row r="8" spans="1:3" x14ac:dyDescent="0.35">
      <c r="A8" s="49" t="s">
        <v>72</v>
      </c>
      <c r="B8" s="50" t="s">
        <v>174</v>
      </c>
    </row>
    <row r="9" spans="1:3" x14ac:dyDescent="0.35">
      <c r="A9" s="49" t="s">
        <v>175</v>
      </c>
      <c r="B9" s="51" t="s">
        <v>173</v>
      </c>
    </row>
    <row r="11" spans="1:3" x14ac:dyDescent="0.35">
      <c r="A11" s="2" t="s">
        <v>179</v>
      </c>
    </row>
    <row r="12" spans="1:3" x14ac:dyDescent="0.35">
      <c r="A12" s="2" t="s">
        <v>183</v>
      </c>
    </row>
    <row r="13" spans="1:3" x14ac:dyDescent="0.35">
      <c r="A13" s="49" t="s">
        <v>72</v>
      </c>
      <c r="B13" s="50" t="s">
        <v>181</v>
      </c>
    </row>
    <row r="14" spans="1:3" x14ac:dyDescent="0.35">
      <c r="A14" s="49" t="s">
        <v>175</v>
      </c>
      <c r="B14" s="51" t="s">
        <v>182</v>
      </c>
    </row>
  </sheetData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B1:F64"/>
  <sheetViews>
    <sheetView showGridLines="0" topLeftCell="A16" zoomScale="55" zoomScaleNormal="55" workbookViewId="0">
      <selection activeCell="C46" sqref="C46"/>
    </sheetView>
  </sheetViews>
  <sheetFormatPr defaultRowHeight="15" x14ac:dyDescent="0.35"/>
  <cols>
    <col min="1" max="1" width="4" style="2" customWidth="1"/>
    <col min="2" max="2" width="36" style="2" customWidth="1"/>
    <col min="3" max="3" width="28.90625" style="2" customWidth="1"/>
    <col min="4" max="4" width="21.26953125" style="2" customWidth="1"/>
    <col min="5" max="5" width="24.36328125" style="2" bestFit="1" customWidth="1"/>
    <col min="6" max="6" width="16" style="2" customWidth="1"/>
    <col min="7" max="16384" width="8.7265625" style="2"/>
  </cols>
  <sheetData>
    <row r="1" spans="2:5" ht="19.5" x14ac:dyDescent="0.45">
      <c r="B1" s="1" t="s">
        <v>0</v>
      </c>
    </row>
    <row r="2" spans="2:5" x14ac:dyDescent="0.35">
      <c r="B2" s="3" t="s">
        <v>1</v>
      </c>
    </row>
    <row r="4" spans="2:5" ht="16" x14ac:dyDescent="0.35">
      <c r="B4" s="4" t="s">
        <v>2</v>
      </c>
    </row>
    <row r="5" spans="2:5" x14ac:dyDescent="0.35">
      <c r="B5" s="5" t="s">
        <v>3</v>
      </c>
      <c r="C5" s="5" t="s">
        <v>4</v>
      </c>
      <c r="D5" s="5" t="s">
        <v>5</v>
      </c>
      <c r="E5" s="5" t="s">
        <v>6</v>
      </c>
    </row>
    <row r="6" spans="2:5" x14ac:dyDescent="0.35">
      <c r="B6" s="6" t="s">
        <v>7</v>
      </c>
      <c r="C6" s="7">
        <v>4</v>
      </c>
      <c r="D6" s="8" t="s">
        <v>8</v>
      </c>
      <c r="E6" s="9" t="s">
        <v>9</v>
      </c>
    </row>
    <row r="7" spans="2:5" x14ac:dyDescent="0.35">
      <c r="B7" s="6" t="s">
        <v>10</v>
      </c>
      <c r="C7" s="7">
        <v>4</v>
      </c>
      <c r="D7" s="8" t="s">
        <v>11</v>
      </c>
      <c r="E7" s="9" t="s">
        <v>12</v>
      </c>
    </row>
    <row r="8" spans="2:5" x14ac:dyDescent="0.35">
      <c r="B8" s="6" t="s">
        <v>13</v>
      </c>
      <c r="C8" s="7">
        <v>350000</v>
      </c>
      <c r="D8" s="8" t="s">
        <v>14</v>
      </c>
      <c r="E8" s="9" t="s">
        <v>15</v>
      </c>
    </row>
    <row r="9" spans="2:5" x14ac:dyDescent="0.35">
      <c r="B9" s="6" t="s">
        <v>16</v>
      </c>
      <c r="C9" s="7">
        <v>250</v>
      </c>
      <c r="D9" s="8" t="s">
        <v>17</v>
      </c>
      <c r="E9" s="9" t="s">
        <v>18</v>
      </c>
    </row>
    <row r="10" spans="2:5" x14ac:dyDescent="0.35">
      <c r="B10" s="6" t="s">
        <v>19</v>
      </c>
      <c r="C10" s="7">
        <v>20</v>
      </c>
      <c r="D10" s="8" t="s">
        <v>20</v>
      </c>
      <c r="E10" s="9" t="s">
        <v>21</v>
      </c>
    </row>
    <row r="11" spans="2:5" x14ac:dyDescent="0.35">
      <c r="B11" s="32" t="s">
        <v>161</v>
      </c>
      <c r="C11" s="7">
        <v>30</v>
      </c>
      <c r="D11" s="8" t="s">
        <v>162</v>
      </c>
      <c r="E11" s="9" t="s">
        <v>163</v>
      </c>
    </row>
    <row r="12" spans="2:5" x14ac:dyDescent="0.35">
      <c r="B12" s="6" t="s">
        <v>22</v>
      </c>
      <c r="C12" s="7">
        <v>22</v>
      </c>
      <c r="D12" s="8" t="s">
        <v>23</v>
      </c>
      <c r="E12" s="9" t="s">
        <v>164</v>
      </c>
    </row>
    <row r="13" spans="2:5" x14ac:dyDescent="0.35">
      <c r="B13" s="6" t="s">
        <v>24</v>
      </c>
      <c r="C13" s="10">
        <v>1.5</v>
      </c>
      <c r="D13" s="8" t="s">
        <v>25</v>
      </c>
      <c r="E13" s="9" t="s">
        <v>26</v>
      </c>
    </row>
    <row r="14" spans="2:5" x14ac:dyDescent="0.35">
      <c r="B14" s="6" t="s">
        <v>27</v>
      </c>
      <c r="C14" s="7">
        <v>150</v>
      </c>
      <c r="D14" s="8" t="s">
        <v>28</v>
      </c>
      <c r="E14" s="9"/>
    </row>
    <row r="17" spans="2:5" ht="16" x14ac:dyDescent="0.35">
      <c r="B17" s="11" t="s">
        <v>29</v>
      </c>
      <c r="C17" s="12"/>
      <c r="D17" s="12"/>
      <c r="E17" s="12"/>
    </row>
    <row r="18" spans="2:5" x14ac:dyDescent="0.35">
      <c r="B18" s="5" t="s">
        <v>3</v>
      </c>
      <c r="C18" s="5" t="s">
        <v>30</v>
      </c>
      <c r="D18" s="5" t="s">
        <v>31</v>
      </c>
      <c r="E18" s="5" t="s">
        <v>32</v>
      </c>
    </row>
    <row r="19" spans="2:5" x14ac:dyDescent="0.35">
      <c r="B19" s="35" t="s">
        <v>157</v>
      </c>
      <c r="C19" s="36"/>
      <c r="D19" s="36"/>
      <c r="E19" s="34"/>
    </row>
    <row r="20" spans="2:5" x14ac:dyDescent="0.35">
      <c r="B20" s="6" t="s">
        <v>33</v>
      </c>
      <c r="C20" s="13" t="s">
        <v>34</v>
      </c>
      <c r="D20" s="14">
        <f>C9*1500</f>
        <v>375000</v>
      </c>
      <c r="E20" s="15">
        <f>C9*1500/1000000*単価表!C3</f>
        <v>9.375E-2</v>
      </c>
    </row>
    <row r="21" spans="2:5" x14ac:dyDescent="0.35">
      <c r="B21" s="6" t="s">
        <v>35</v>
      </c>
      <c r="C21" s="13" t="s">
        <v>36</v>
      </c>
      <c r="D21" s="14">
        <f>C9*500</f>
        <v>125000</v>
      </c>
      <c r="E21" s="15">
        <f>C9*500/1000000*単価表!D3</f>
        <v>0.25</v>
      </c>
    </row>
    <row r="22" spans="2:5" x14ac:dyDescent="0.35">
      <c r="B22" s="35" t="s">
        <v>156</v>
      </c>
      <c r="C22" s="36"/>
      <c r="D22" s="36"/>
      <c r="E22" s="34"/>
    </row>
    <row r="23" spans="2:5" x14ac:dyDescent="0.35">
      <c r="B23" s="6" t="s">
        <v>37</v>
      </c>
      <c r="C23" s="13" t="s">
        <v>38</v>
      </c>
      <c r="D23" s="14">
        <f>C8*0.5</f>
        <v>175000</v>
      </c>
      <c r="E23" s="15">
        <f>C8*0.5/1000000*単価表!C4</f>
        <v>0.21875</v>
      </c>
    </row>
    <row r="24" spans="2:5" x14ac:dyDescent="0.35">
      <c r="B24" s="6" t="s">
        <v>39</v>
      </c>
      <c r="C24" s="13" t="s">
        <v>40</v>
      </c>
      <c r="D24" s="14">
        <f>C8*0.5</f>
        <v>175000</v>
      </c>
      <c r="E24" s="15">
        <f>C8*0.5/1000000*単価表!D4</f>
        <v>1.75</v>
      </c>
    </row>
    <row r="25" spans="2:5" x14ac:dyDescent="0.35">
      <c r="B25" s="35" t="s">
        <v>41</v>
      </c>
      <c r="C25" s="36"/>
      <c r="D25" s="36"/>
      <c r="E25" s="34"/>
    </row>
    <row r="26" spans="2:5" x14ac:dyDescent="0.35">
      <c r="B26" s="6" t="s">
        <v>42</v>
      </c>
      <c r="C26" s="13" t="s">
        <v>43</v>
      </c>
      <c r="D26" s="14">
        <f>(10000+2000*C7)+(8000+2000*C7)</f>
        <v>34000</v>
      </c>
      <c r="E26" s="15">
        <f>(10000+2000*C7)/1000000*単価表!C4+(8000+2000*C7)/1000000*単価表!D4</f>
        <v>0.1825</v>
      </c>
    </row>
    <row r="28" spans="2:5" x14ac:dyDescent="0.35">
      <c r="B28" s="16" t="s">
        <v>44</v>
      </c>
      <c r="C28" s="41"/>
      <c r="D28" s="41"/>
      <c r="E28" s="17">
        <f>E20+E21+E23+E24+E26/C7</f>
        <v>2.3581249999999998</v>
      </c>
    </row>
    <row r="29" spans="2:5" x14ac:dyDescent="0.35">
      <c r="B29" s="6" t="s">
        <v>45</v>
      </c>
      <c r="C29" s="13"/>
      <c r="D29" s="41"/>
      <c r="E29" s="18">
        <f>E28*C7</f>
        <v>9.4324999999999992</v>
      </c>
    </row>
    <row r="30" spans="2:5" x14ac:dyDescent="0.35">
      <c r="B30" s="6" t="s">
        <v>46</v>
      </c>
      <c r="C30" s="13"/>
      <c r="D30" s="41"/>
      <c r="E30" s="18">
        <f>E29*C6</f>
        <v>37.729999999999997</v>
      </c>
    </row>
    <row r="31" spans="2:5" ht="16" x14ac:dyDescent="0.35">
      <c r="B31" s="19" t="s">
        <v>47</v>
      </c>
      <c r="C31" s="20"/>
      <c r="D31" s="20"/>
      <c r="E31" s="21">
        <f>E30*C14</f>
        <v>5659.4999999999991</v>
      </c>
    </row>
    <row r="34" spans="2:5" ht="16" x14ac:dyDescent="0.35">
      <c r="B34" s="11" t="s">
        <v>48</v>
      </c>
      <c r="C34" s="12"/>
      <c r="D34" s="12"/>
      <c r="E34" s="12"/>
    </row>
    <row r="35" spans="2:5" x14ac:dyDescent="0.35">
      <c r="B35" s="5" t="s">
        <v>49</v>
      </c>
      <c r="C35" s="5" t="s">
        <v>50</v>
      </c>
      <c r="D35" s="5" t="s">
        <v>51</v>
      </c>
      <c r="E35" s="5" t="s">
        <v>52</v>
      </c>
    </row>
    <row r="36" spans="2:5" x14ac:dyDescent="0.35">
      <c r="B36" s="6" t="s">
        <v>53</v>
      </c>
      <c r="C36" s="8" t="s">
        <v>54</v>
      </c>
      <c r="D36" s="18">
        <f>単価表!C9</f>
        <v>73</v>
      </c>
      <c r="E36" s="14">
        <f>D36*C14</f>
        <v>10950</v>
      </c>
    </row>
    <row r="37" spans="2:5" x14ac:dyDescent="0.35">
      <c r="B37" s="6" t="s">
        <v>55</v>
      </c>
      <c r="C37" s="8" t="s">
        <v>56</v>
      </c>
      <c r="D37" s="18">
        <f>単価表!C10</f>
        <v>13</v>
      </c>
      <c r="E37" s="14">
        <f>D37*C14</f>
        <v>1950</v>
      </c>
    </row>
    <row r="38" spans="2:5" x14ac:dyDescent="0.35">
      <c r="B38" s="6" t="s">
        <v>57</v>
      </c>
      <c r="C38" s="8" t="s">
        <v>58</v>
      </c>
      <c r="D38" s="18">
        <f>単価表!C11</f>
        <v>4.9000000000000004</v>
      </c>
      <c r="E38" s="14">
        <f>D38*C14</f>
        <v>735</v>
      </c>
    </row>
    <row r="39" spans="2:5" x14ac:dyDescent="0.35">
      <c r="B39" s="6" t="s">
        <v>167</v>
      </c>
      <c r="C39" s="8" t="s">
        <v>59</v>
      </c>
      <c r="D39" s="18">
        <v>0</v>
      </c>
      <c r="E39" s="14">
        <f>D39*C14</f>
        <v>0</v>
      </c>
    </row>
    <row r="40" spans="2:5" ht="16" x14ac:dyDescent="0.35">
      <c r="B40" s="19" t="s">
        <v>47</v>
      </c>
      <c r="C40" s="20"/>
      <c r="D40" s="22">
        <f>SUM(D36:D39)</f>
        <v>90.9</v>
      </c>
      <c r="E40" s="21">
        <f>D40*C14</f>
        <v>13635</v>
      </c>
    </row>
    <row r="41" spans="2:5" x14ac:dyDescent="0.35">
      <c r="B41" s="2" t="s">
        <v>168</v>
      </c>
    </row>
    <row r="43" spans="2:5" ht="16" x14ac:dyDescent="0.35">
      <c r="B43" s="11" t="s">
        <v>60</v>
      </c>
      <c r="C43" s="12"/>
      <c r="D43" s="12"/>
      <c r="E43" s="12"/>
    </row>
    <row r="44" spans="2:5" x14ac:dyDescent="0.35">
      <c r="B44" s="5" t="s">
        <v>3</v>
      </c>
      <c r="C44" s="5" t="s">
        <v>30</v>
      </c>
      <c r="D44" s="5" t="s">
        <v>165</v>
      </c>
      <c r="E44" s="5" t="s">
        <v>32</v>
      </c>
    </row>
    <row r="45" spans="2:5" x14ac:dyDescent="0.35">
      <c r="B45" s="16" t="s">
        <v>61</v>
      </c>
      <c r="C45" s="13" t="s">
        <v>160</v>
      </c>
      <c r="D45" s="23">
        <f>C10*C12*C11</f>
        <v>13200</v>
      </c>
      <c r="E45" s="41"/>
    </row>
    <row r="46" spans="2:5" x14ac:dyDescent="0.35">
      <c r="B46" s="6" t="s">
        <v>62</v>
      </c>
      <c r="C46" s="13" t="s">
        <v>170</v>
      </c>
      <c r="D46" s="14">
        <f>D45*4000*C13</f>
        <v>79200000</v>
      </c>
      <c r="E46" s="15">
        <f>D46/1000000*単価表!C3</f>
        <v>19.8</v>
      </c>
    </row>
    <row r="47" spans="2:5" x14ac:dyDescent="0.35">
      <c r="B47" s="6" t="s">
        <v>63</v>
      </c>
      <c r="C47" s="13" t="s">
        <v>64</v>
      </c>
      <c r="D47" s="14">
        <f>D45*500</f>
        <v>6600000</v>
      </c>
      <c r="E47" s="15">
        <f>D47/1000000*単価表!D3</f>
        <v>13.2</v>
      </c>
    </row>
    <row r="48" spans="2:5" x14ac:dyDescent="0.35">
      <c r="B48" s="6" t="s">
        <v>65</v>
      </c>
      <c r="C48" s="13" t="s">
        <v>66</v>
      </c>
      <c r="D48" s="14">
        <f>D45*100*C13</f>
        <v>1980000</v>
      </c>
      <c r="E48" s="15">
        <f>D48/1000000*単価表!C5</f>
        <v>0.25740000000000002</v>
      </c>
    </row>
    <row r="50" spans="2:6" x14ac:dyDescent="0.35">
      <c r="B50" s="16" t="s">
        <v>46</v>
      </c>
      <c r="C50" s="41"/>
      <c r="D50" s="41"/>
      <c r="E50" s="17">
        <f>E46+E47+E48</f>
        <v>33.257399999999997</v>
      </c>
    </row>
    <row r="51" spans="2:6" ht="16" x14ac:dyDescent="0.35">
      <c r="B51" s="19" t="s">
        <v>47</v>
      </c>
      <c r="C51" s="20"/>
      <c r="D51" s="20"/>
      <c r="E51" s="21">
        <f>E50*C14</f>
        <v>4988.6099999999997</v>
      </c>
      <c r="F51" s="48">
        <f>E51/13200</f>
        <v>0.37792499999999996</v>
      </c>
    </row>
    <row r="54" spans="2:6" ht="19.5" x14ac:dyDescent="0.45">
      <c r="B54" s="1" t="s">
        <v>67</v>
      </c>
    </row>
    <row r="55" spans="2:6" x14ac:dyDescent="0.35">
      <c r="B55" s="37" t="s">
        <v>68</v>
      </c>
      <c r="C55" s="34"/>
      <c r="D55" s="5" t="s">
        <v>51</v>
      </c>
      <c r="E55" s="5" t="s">
        <v>52</v>
      </c>
    </row>
    <row r="56" spans="2:6" x14ac:dyDescent="0.35">
      <c r="B56" s="33" t="s">
        <v>69</v>
      </c>
      <c r="C56" s="34"/>
      <c r="D56" s="18">
        <f>E30</f>
        <v>37.729999999999997</v>
      </c>
      <c r="E56" s="14">
        <f>E31</f>
        <v>5659.4999999999991</v>
      </c>
    </row>
    <row r="57" spans="2:6" x14ac:dyDescent="0.35">
      <c r="B57" s="33" t="s">
        <v>70</v>
      </c>
      <c r="C57" s="34"/>
      <c r="D57" s="18">
        <f>D40</f>
        <v>90.9</v>
      </c>
      <c r="E57" s="14">
        <f>E40</f>
        <v>13635</v>
      </c>
    </row>
    <row r="58" spans="2:6" x14ac:dyDescent="0.35">
      <c r="B58" s="33" t="s">
        <v>71</v>
      </c>
      <c r="C58" s="34"/>
      <c r="D58" s="18">
        <f>E50</f>
        <v>33.257399999999997</v>
      </c>
      <c r="E58" s="14">
        <f>E51</f>
        <v>4988.6099999999997</v>
      </c>
    </row>
    <row r="59" spans="2:6" ht="18" x14ac:dyDescent="0.4">
      <c r="B59" s="40" t="s">
        <v>72</v>
      </c>
      <c r="C59" s="39"/>
      <c r="D59" s="24">
        <f>D56+D57+D58</f>
        <v>161.88739999999999</v>
      </c>
      <c r="E59" s="25">
        <f>E56+E57+E58</f>
        <v>24283.11</v>
      </c>
    </row>
    <row r="60" spans="2:6" ht="16" x14ac:dyDescent="0.35">
      <c r="B60" s="38" t="s">
        <v>73</v>
      </c>
      <c r="C60" s="39"/>
      <c r="D60" s="26">
        <f>D59*12</f>
        <v>1942.6487999999999</v>
      </c>
      <c r="E60" s="27">
        <f>E59*12</f>
        <v>291397.32</v>
      </c>
    </row>
    <row r="62" spans="2:6" x14ac:dyDescent="0.35">
      <c r="B62" s="3" t="s">
        <v>74</v>
      </c>
    </row>
    <row r="63" spans="2:6" x14ac:dyDescent="0.35">
      <c r="B63" s="3" t="s">
        <v>75</v>
      </c>
    </row>
    <row r="64" spans="2:6" x14ac:dyDescent="0.35">
      <c r="B64" s="3" t="s">
        <v>76</v>
      </c>
    </row>
  </sheetData>
  <mergeCells count="9">
    <mergeCell ref="B56:C56"/>
    <mergeCell ref="B19:E19"/>
    <mergeCell ref="B55:C55"/>
    <mergeCell ref="B60:C60"/>
    <mergeCell ref="B22:E22"/>
    <mergeCell ref="B25:E25"/>
    <mergeCell ref="B57:C57"/>
    <mergeCell ref="B58:C58"/>
    <mergeCell ref="B59:C59"/>
  </mergeCells>
  <phoneticPr fontId="1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1:E48"/>
  <sheetViews>
    <sheetView showGridLines="0" topLeftCell="A6" zoomScale="67" workbookViewId="0">
      <selection activeCell="D27" sqref="D27"/>
    </sheetView>
  </sheetViews>
  <sheetFormatPr defaultRowHeight="15" x14ac:dyDescent="0.35"/>
  <cols>
    <col min="1" max="1" width="4" style="2" customWidth="1"/>
    <col min="2" max="2" width="32" style="2" customWidth="1"/>
    <col min="3" max="4" width="18" style="2" customWidth="1"/>
    <col min="5" max="5" width="20" style="2" customWidth="1"/>
    <col min="6" max="16384" width="8.7265625" style="2"/>
  </cols>
  <sheetData>
    <row r="1" spans="2:4" ht="19.5" x14ac:dyDescent="0.45">
      <c r="B1" s="1" t="s">
        <v>77</v>
      </c>
    </row>
    <row r="2" spans="2:4" x14ac:dyDescent="0.35">
      <c r="B2" s="5" t="s">
        <v>78</v>
      </c>
      <c r="C2" s="5" t="s">
        <v>79</v>
      </c>
      <c r="D2" s="5" t="s">
        <v>80</v>
      </c>
    </row>
    <row r="3" spans="2:4" x14ac:dyDescent="0.35">
      <c r="B3" s="6" t="s">
        <v>81</v>
      </c>
      <c r="C3" s="28">
        <v>0.25</v>
      </c>
      <c r="D3" s="28">
        <v>2</v>
      </c>
    </row>
    <row r="4" spans="2:4" x14ac:dyDescent="0.35">
      <c r="B4" s="6" t="s">
        <v>82</v>
      </c>
      <c r="C4" s="28">
        <v>1.25</v>
      </c>
      <c r="D4" s="28">
        <v>10</v>
      </c>
    </row>
    <row r="5" spans="2:4" x14ac:dyDescent="0.35">
      <c r="B5" s="6" t="s">
        <v>83</v>
      </c>
      <c r="C5" s="28">
        <v>0.13</v>
      </c>
      <c r="D5" s="6" t="s">
        <v>84</v>
      </c>
    </row>
    <row r="7" spans="2:4" ht="16" x14ac:dyDescent="0.35">
      <c r="B7" s="4" t="s">
        <v>85</v>
      </c>
    </row>
    <row r="8" spans="2:4" x14ac:dyDescent="0.35">
      <c r="B8" s="5" t="s">
        <v>49</v>
      </c>
      <c r="C8" s="5" t="s">
        <v>86</v>
      </c>
      <c r="D8" s="5" t="s">
        <v>50</v>
      </c>
    </row>
    <row r="9" spans="2:4" x14ac:dyDescent="0.35">
      <c r="B9" s="6" t="s">
        <v>53</v>
      </c>
      <c r="C9" s="28">
        <v>73</v>
      </c>
      <c r="D9" s="6" t="s">
        <v>54</v>
      </c>
    </row>
    <row r="10" spans="2:4" x14ac:dyDescent="0.35">
      <c r="B10" s="6" t="s">
        <v>55</v>
      </c>
      <c r="C10" s="28">
        <v>13</v>
      </c>
      <c r="D10" s="6" t="s">
        <v>56</v>
      </c>
    </row>
    <row r="11" spans="2:4" x14ac:dyDescent="0.35">
      <c r="B11" s="6" t="s">
        <v>57</v>
      </c>
      <c r="C11" s="28">
        <v>4.9000000000000004</v>
      </c>
      <c r="D11" s="6" t="s">
        <v>58</v>
      </c>
    </row>
    <row r="13" spans="2:4" ht="16" x14ac:dyDescent="0.35">
      <c r="B13" s="4" t="s">
        <v>87</v>
      </c>
    </row>
    <row r="14" spans="2:4" x14ac:dyDescent="0.35">
      <c r="B14" s="5" t="s">
        <v>88</v>
      </c>
      <c r="C14" s="5" t="s">
        <v>4</v>
      </c>
      <c r="D14" s="5" t="s">
        <v>89</v>
      </c>
    </row>
    <row r="15" spans="2:4" x14ac:dyDescent="0.35">
      <c r="B15" s="6" t="s">
        <v>90</v>
      </c>
      <c r="C15" s="29">
        <v>1500</v>
      </c>
      <c r="D15" s="9" t="s">
        <v>91</v>
      </c>
    </row>
    <row r="16" spans="2:4" x14ac:dyDescent="0.35">
      <c r="B16" s="6" t="s">
        <v>92</v>
      </c>
      <c r="C16" s="29">
        <v>500</v>
      </c>
      <c r="D16" s="9" t="s">
        <v>93</v>
      </c>
    </row>
    <row r="17" spans="2:4" x14ac:dyDescent="0.35">
      <c r="B17" s="6" t="s">
        <v>94</v>
      </c>
      <c r="C17" s="30">
        <v>0.5</v>
      </c>
      <c r="D17" s="9" t="s">
        <v>95</v>
      </c>
    </row>
    <row r="18" spans="2:4" x14ac:dyDescent="0.35">
      <c r="B18" s="6" t="s">
        <v>96</v>
      </c>
      <c r="C18" s="29">
        <v>2000</v>
      </c>
      <c r="D18" s="9" t="s">
        <v>97</v>
      </c>
    </row>
    <row r="19" spans="2:4" x14ac:dyDescent="0.35">
      <c r="B19" s="6" t="s">
        <v>98</v>
      </c>
      <c r="C19" s="29">
        <v>10000</v>
      </c>
      <c r="D19" s="9" t="s">
        <v>99</v>
      </c>
    </row>
    <row r="20" spans="2:4" x14ac:dyDescent="0.35">
      <c r="B20" s="6" t="s">
        <v>100</v>
      </c>
      <c r="C20" s="29">
        <v>8000</v>
      </c>
      <c r="D20" s="9" t="s">
        <v>101</v>
      </c>
    </row>
    <row r="21" spans="2:4" x14ac:dyDescent="0.35">
      <c r="B21" s="6" t="s">
        <v>102</v>
      </c>
      <c r="C21" s="29">
        <v>2000</v>
      </c>
      <c r="D21" s="9"/>
    </row>
    <row r="22" spans="2:4" x14ac:dyDescent="0.35">
      <c r="B22" s="6" t="s">
        <v>103</v>
      </c>
      <c r="C22" s="29">
        <v>2000</v>
      </c>
      <c r="D22" s="9"/>
    </row>
    <row r="24" spans="2:4" ht="16" x14ac:dyDescent="0.35">
      <c r="B24" s="4" t="s">
        <v>104</v>
      </c>
    </row>
    <row r="25" spans="2:4" x14ac:dyDescent="0.35">
      <c r="B25" s="5" t="s">
        <v>88</v>
      </c>
      <c r="C25" s="5" t="s">
        <v>4</v>
      </c>
      <c r="D25" s="5" t="s">
        <v>89</v>
      </c>
    </row>
    <row r="26" spans="2:4" x14ac:dyDescent="0.35">
      <c r="B26" s="6" t="s">
        <v>105</v>
      </c>
      <c r="C26" s="29">
        <v>4000</v>
      </c>
      <c r="D26" s="9" t="s">
        <v>177</v>
      </c>
    </row>
    <row r="27" spans="2:4" x14ac:dyDescent="0.35">
      <c r="B27" s="6" t="s">
        <v>106</v>
      </c>
      <c r="C27" s="29">
        <v>500</v>
      </c>
      <c r="D27" s="9" t="s">
        <v>107</v>
      </c>
    </row>
    <row r="28" spans="2:4" x14ac:dyDescent="0.35">
      <c r="B28" s="6" t="s">
        <v>108</v>
      </c>
      <c r="C28" s="29">
        <v>100</v>
      </c>
      <c r="D28" s="9" t="s">
        <v>109</v>
      </c>
    </row>
    <row r="30" spans="2:4" ht="16" x14ac:dyDescent="0.35">
      <c r="B30" s="4" t="s">
        <v>110</v>
      </c>
    </row>
    <row r="31" spans="2:4" x14ac:dyDescent="0.35">
      <c r="B31" s="5" t="s">
        <v>3</v>
      </c>
      <c r="C31" s="5" t="s">
        <v>4</v>
      </c>
      <c r="D31" s="5" t="s">
        <v>89</v>
      </c>
    </row>
    <row r="32" spans="2:4" x14ac:dyDescent="0.35">
      <c r="B32" s="6" t="s">
        <v>111</v>
      </c>
      <c r="C32" s="8" t="s">
        <v>112</v>
      </c>
      <c r="D32" s="9" t="s">
        <v>113</v>
      </c>
    </row>
    <row r="33" spans="2:5" x14ac:dyDescent="0.35">
      <c r="B33" s="6" t="s">
        <v>114</v>
      </c>
      <c r="C33" s="8" t="s">
        <v>115</v>
      </c>
      <c r="D33" s="9" t="s">
        <v>116</v>
      </c>
    </row>
    <row r="34" spans="2:5" x14ac:dyDescent="0.35">
      <c r="B34" s="6" t="s">
        <v>117</v>
      </c>
      <c r="C34" s="8" t="s">
        <v>118</v>
      </c>
      <c r="D34" s="9" t="s">
        <v>119</v>
      </c>
    </row>
    <row r="35" spans="2:5" x14ac:dyDescent="0.35">
      <c r="B35" s="6" t="s">
        <v>120</v>
      </c>
      <c r="C35" s="8" t="s">
        <v>121</v>
      </c>
      <c r="D35" s="9" t="s">
        <v>122</v>
      </c>
    </row>
    <row r="36" spans="2:5" x14ac:dyDescent="0.35">
      <c r="B36" s="6" t="s">
        <v>123</v>
      </c>
      <c r="C36" s="8" t="s">
        <v>124</v>
      </c>
      <c r="D36" s="9" t="s">
        <v>125</v>
      </c>
    </row>
    <row r="37" spans="2:5" x14ac:dyDescent="0.35">
      <c r="B37" s="6" t="s">
        <v>126</v>
      </c>
      <c r="C37" s="8" t="s">
        <v>127</v>
      </c>
      <c r="D37" s="9" t="s">
        <v>128</v>
      </c>
    </row>
    <row r="38" spans="2:5" x14ac:dyDescent="0.35">
      <c r="B38" s="6" t="s">
        <v>129</v>
      </c>
      <c r="C38" s="8" t="s">
        <v>130</v>
      </c>
      <c r="D38" s="9" t="s">
        <v>131</v>
      </c>
    </row>
    <row r="41" spans="2:5" ht="16" x14ac:dyDescent="0.35">
      <c r="B41" s="4" t="s">
        <v>132</v>
      </c>
    </row>
    <row r="42" spans="2:5" x14ac:dyDescent="0.35">
      <c r="B42" s="5" t="s">
        <v>133</v>
      </c>
      <c r="C42" s="5" t="s">
        <v>134</v>
      </c>
      <c r="D42" s="5" t="s">
        <v>135</v>
      </c>
      <c r="E42" s="5" t="s">
        <v>120</v>
      </c>
    </row>
    <row r="43" spans="2:5" x14ac:dyDescent="0.35">
      <c r="B43" s="6" t="s">
        <v>136</v>
      </c>
      <c r="C43" s="8" t="s">
        <v>137</v>
      </c>
      <c r="D43" s="8" t="s">
        <v>138</v>
      </c>
      <c r="E43" s="8" t="s">
        <v>139</v>
      </c>
    </row>
    <row r="44" spans="2:5" x14ac:dyDescent="0.35">
      <c r="B44" s="6" t="s">
        <v>140</v>
      </c>
      <c r="C44" s="8" t="s">
        <v>141</v>
      </c>
      <c r="D44" s="8" t="s">
        <v>142</v>
      </c>
      <c r="E44" s="8" t="s">
        <v>143</v>
      </c>
    </row>
    <row r="45" spans="2:5" x14ac:dyDescent="0.35">
      <c r="B45" s="6" t="s">
        <v>144</v>
      </c>
      <c r="C45" s="8" t="s">
        <v>145</v>
      </c>
      <c r="D45" s="8" t="s">
        <v>146</v>
      </c>
      <c r="E45" s="8" t="s">
        <v>147</v>
      </c>
    </row>
    <row r="46" spans="2:5" x14ac:dyDescent="0.35">
      <c r="B46" s="6" t="s">
        <v>148</v>
      </c>
      <c r="C46" s="8" t="s">
        <v>145</v>
      </c>
      <c r="D46" s="8" t="s">
        <v>149</v>
      </c>
      <c r="E46" s="8" t="s">
        <v>150</v>
      </c>
    </row>
    <row r="47" spans="2:5" x14ac:dyDescent="0.35">
      <c r="B47" s="6" t="s">
        <v>151</v>
      </c>
      <c r="C47" s="8" t="s">
        <v>145</v>
      </c>
      <c r="D47" s="8" t="s">
        <v>152</v>
      </c>
      <c r="E47" s="8" t="s">
        <v>147</v>
      </c>
    </row>
    <row r="48" spans="2:5" x14ac:dyDescent="0.35">
      <c r="B48" s="16" t="s">
        <v>153</v>
      </c>
      <c r="C48" s="31" t="s">
        <v>112</v>
      </c>
      <c r="D48" s="31" t="s">
        <v>154</v>
      </c>
      <c r="E48" s="31" t="s">
        <v>155</v>
      </c>
    </row>
  </sheetData>
  <phoneticPr fontId="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サマリ</vt:lpstr>
      <vt:lpstr>計算</vt:lpstr>
      <vt:lpstr>単価表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マジマ　ヨウヘイ</cp:lastModifiedBy>
  <dcterms:created xsi:type="dcterms:W3CDTF">2026-02-20T12:12:21Z</dcterms:created>
  <dcterms:modified xsi:type="dcterms:W3CDTF">2026-02-24T00:35:11Z</dcterms:modified>
</cp:coreProperties>
</file>