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単価表" sheetId="2" state="visible" r:id="rId2"/>
    <sheet xmlns:r="http://schemas.openxmlformats.org/officeDocument/2006/relationships" name="計算" sheetId="3" state="visible" r:id="rId3"/>
  </sheets>
  <definedNames/>
  <calcPr calcId="124519" fullCalcOnLoad="1"/>
</workbook>
</file>

<file path=xl/styles.xml><?xml version="1.0" encoding="utf-8"?>
<styleSheet xmlns="http://schemas.openxmlformats.org/spreadsheetml/2006/main">
  <numFmts count="3">
    <numFmt numFmtId="164" formatCode="&quot;$&quot;#,##0.00"/>
    <numFmt numFmtId="165" formatCode="&quot;$&quot;#,##0.0000"/>
    <numFmt numFmtId="166" formatCode="&quot;¥&quot;#,##0.000"/>
  </numFmts>
  <fonts count="11">
    <font>
      <name val="Calibri"/>
      <family val="2"/>
      <color theme="1"/>
      <sz val="11"/>
      <scheme val="minor"/>
    </font>
    <font>
      <name val="Meiryo"/>
      <b val="1"/>
      <sz val="13"/>
    </font>
    <font>
      <name val="Meiryo"/>
      <b val="1"/>
      <color rgb="001F4E79"/>
      <sz val="11"/>
    </font>
    <font>
      <name val="Meiryo"/>
      <b val="1"/>
      <color rgb="00FFFFFF"/>
      <sz val="10"/>
    </font>
    <font>
      <name val="Meiryo"/>
      <sz val="10"/>
    </font>
    <font>
      <name val="Meiryo"/>
      <color rgb="00FF0000"/>
      <sz val="9"/>
    </font>
    <font>
      <name val="Meiryo"/>
      <b val="1"/>
      <sz val="10"/>
    </font>
    <font>
      <name val="Meiryo"/>
      <sz val="8"/>
    </font>
    <font>
      <name val="Meiryo"/>
      <b val="1"/>
      <sz val="12"/>
    </font>
    <font>
      <name val="Meiryo"/>
      <i val="1"/>
      <color rgb="00666666"/>
      <sz val="9"/>
    </font>
    <font>
      <name val="Meiryo"/>
      <sz val="9"/>
    </font>
  </fonts>
  <fills count="7">
    <fill>
      <patternFill/>
    </fill>
    <fill>
      <patternFill patternType="gray125"/>
    </fill>
    <fill>
      <patternFill patternType="solid">
        <fgColor rgb="001F4E79"/>
      </patternFill>
    </fill>
    <fill>
      <patternFill patternType="solid">
        <fgColor rgb="00D6DCE4"/>
      </patternFill>
    </fill>
    <fill>
      <patternFill patternType="solid">
        <fgColor rgb="00FFFF99"/>
      </patternFill>
    </fill>
    <fill>
      <patternFill patternType="solid">
        <fgColor rgb="00FFF2CC"/>
      </patternFill>
    </fill>
    <fill>
      <patternFill patternType="solid">
        <fgColor rgb="00FCE4D6"/>
      </patternFill>
    </fill>
  </fills>
  <borders count="5">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vertical="center"/>
    </xf>
    <xf numFmtId="0" fontId="9" fillId="0" borderId="0" applyAlignment="1" pivotButton="0" quotePrefix="0" xfId="0">
      <alignment horizontal="left" vertical="center"/>
    </xf>
    <xf numFmtId="0" fontId="3" fillId="2" borderId="1" applyAlignment="1" pivotButton="0" quotePrefix="0" xfId="0">
      <alignment horizontal="center" vertical="center"/>
    </xf>
    <xf numFmtId="0" fontId="4" fillId="0" borderId="1" applyAlignment="1" pivotButton="0" quotePrefix="0" xfId="0">
      <alignment horizontal="left" vertical="center"/>
    </xf>
    <xf numFmtId="3" fontId="4" fillId="0" borderId="1" applyAlignment="1" pivotButton="0" quotePrefix="0" xfId="0">
      <alignment horizontal="right" vertical="center"/>
    </xf>
    <xf numFmtId="0" fontId="7" fillId="0" borderId="1" applyAlignment="1" pivotButton="0" quotePrefix="0" xfId="0">
      <alignment horizontal="left" vertical="center"/>
    </xf>
    <xf numFmtId="0" fontId="6" fillId="6" borderId="1" applyAlignment="1" pivotButton="0" quotePrefix="0" xfId="0">
      <alignment horizontal="left" vertical="center"/>
    </xf>
    <xf numFmtId="3" fontId="6" fillId="6" borderId="1" applyAlignment="1" pivotButton="0" quotePrefix="0" xfId="0">
      <alignment horizontal="right" vertical="center"/>
    </xf>
    <xf numFmtId="0" fontId="2" fillId="0" borderId="0" pivotButton="0" quotePrefix="0" xfId="0"/>
    <xf numFmtId="0" fontId="1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164" fontId="4" fillId="0" borderId="1" applyAlignment="1" pivotButton="0" quotePrefix="0" xfId="0">
      <alignment horizontal="right" vertical="center"/>
    </xf>
    <xf numFmtId="0" fontId="4" fillId="0" borderId="1" applyAlignment="1" pivotButton="0" quotePrefix="0" xfId="0">
      <alignment horizontal="right" vertical="center"/>
    </xf>
    <xf numFmtId="0" fontId="0" fillId="0" borderId="4" pivotButton="0" quotePrefix="0" xfId="0"/>
    <xf numFmtId="0" fontId="5" fillId="0" borderId="0" applyAlignment="1" pivotButton="0" quotePrefix="0" xfId="0">
      <alignment horizontal="left" vertical="center"/>
    </xf>
    <xf numFmtId="0" fontId="6" fillId="3" borderId="1" applyAlignment="1" pivotButton="0" quotePrefix="0" xfId="0">
      <alignment horizontal="center" vertical="center"/>
    </xf>
    <xf numFmtId="0" fontId="4" fillId="0" borderId="1" applyAlignment="1" pivotButton="0" quotePrefix="0" xfId="0">
      <alignment horizontal="center" vertical="center"/>
    </xf>
    <xf numFmtId="3" fontId="6" fillId="4" borderId="1" applyAlignment="1" pivotButton="0" quotePrefix="0" xfId="0">
      <alignment horizontal="right" vertical="center"/>
    </xf>
    <xf numFmtId="165" fontId="4" fillId="0" borderId="1" applyAlignment="1" pivotButton="0" quotePrefix="0" xfId="0">
      <alignment horizontal="right" vertical="center"/>
    </xf>
    <xf numFmtId="0" fontId="7" fillId="0" borderId="1" applyAlignment="1" pivotButton="0" quotePrefix="0" xfId="0">
      <alignment horizontal="center" vertical="center"/>
    </xf>
    <xf numFmtId="0" fontId="6" fillId="0" borderId="1" applyAlignment="1" pivotButton="0" quotePrefix="0" xfId="0">
      <alignment horizontal="left" vertical="center"/>
    </xf>
    <xf numFmtId="165" fontId="6" fillId="0" borderId="1" applyAlignment="1" pivotButton="0" quotePrefix="0" xfId="0">
      <alignment horizontal="right" vertical="center"/>
    </xf>
    <xf numFmtId="164" fontId="6" fillId="0" borderId="1" applyAlignment="1" pivotButton="0" quotePrefix="0" xfId="0">
      <alignment horizontal="right" vertical="center"/>
    </xf>
    <xf numFmtId="0" fontId="6" fillId="5" borderId="1" applyAlignment="1" pivotButton="0" quotePrefix="0" xfId="0">
      <alignment horizontal="left" vertical="center"/>
    </xf>
    <xf numFmtId="3" fontId="6" fillId="5" borderId="1" applyAlignment="1" pivotButton="0" quotePrefix="0" xfId="0">
      <alignment horizontal="right" vertical="center"/>
    </xf>
    <xf numFmtId="166" fontId="4" fillId="0" borderId="1" applyAlignment="1" pivotButton="0" quotePrefix="0" xfId="0">
      <alignment horizontal="right" vertical="center"/>
    </xf>
    <xf numFmtId="0" fontId="8"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15"/>
  <sheetViews>
    <sheetView workbookViewId="0">
      <selection activeCell="A1" sqref="A1"/>
    </sheetView>
  </sheetViews>
  <sheetFormatPr baseColWidth="8" defaultRowHeight="15"/>
  <cols>
    <col width="2" customWidth="1" min="1" max="1"/>
    <col width="28" customWidth="1" min="2" max="2"/>
    <col width="18" customWidth="1" min="3" max="3"/>
    <col width="18" customWidth="1" min="4" max="4"/>
    <col width="18" customWidth="1" min="5" max="5"/>
    <col width="40" customWidth="1" min="6" max="6"/>
  </cols>
  <sheetData>
    <row r="1" ht="28" customHeight="1">
      <c r="B1" s="1" t="inlineStr">
        <is>
          <t>EC業務ナレッジ チャットボット 月額コスト試算 サマリ</t>
        </is>
      </c>
    </row>
    <row r="2">
      <c r="B2" s="2" t="inlineStr">
        <is>
          <t>単価: 2026年2月時点 Azure OpenAI 料金  ／  ※数値は「計算」シートから参照</t>
        </is>
      </c>
    </row>
    <row r="4">
      <c r="B4" s="3" t="inlineStr">
        <is>
          <t>コスト区分</t>
        </is>
      </c>
      <c r="C4" s="3" t="inlineStr">
        <is>
          <t>現状（30名）</t>
        </is>
      </c>
      <c r="D4" s="3" t="inlineStr">
        <is>
          <t>6万円（150名）</t>
        </is>
      </c>
      <c r="E4" s="3" t="inlineStr">
        <is>
          <t>300名</t>
        </is>
      </c>
      <c r="F4" s="3" t="inlineStr">
        <is>
          <t>備考</t>
        </is>
      </c>
    </row>
    <row r="5">
      <c r="B5" s="4" t="inlineStr">
        <is>
          <t>① ナレッジ更新 [円/月]</t>
        </is>
      </c>
      <c r="C5" s="5">
        <f>計算!C28</f>
        <v/>
      </c>
      <c r="D5" s="5">
        <f>計算!D28</f>
        <v/>
      </c>
      <c r="E5" s="5">
        <f>計算!E28</f>
        <v/>
      </c>
      <c r="F5" s="6" t="inlineStr">
        <is>
          <t>更新頻度・資料数が同じなら全シナリオ共通</t>
        </is>
      </c>
    </row>
    <row r="6">
      <c r="B6" s="4" t="inlineStr">
        <is>
          <t>② インフラ [円/月]</t>
        </is>
      </c>
      <c r="C6" s="5">
        <f>計算!C38</f>
        <v/>
      </c>
      <c r="D6" s="5">
        <f>計算!D38</f>
        <v/>
      </c>
      <c r="E6" s="5">
        <f>計算!E38</f>
        <v/>
      </c>
      <c r="F6" s="6" t="inlineStr">
        <is>
          <t>300名はAI Search Standard化で大幅増</t>
        </is>
      </c>
    </row>
    <row r="7">
      <c r="B7" s="4" t="inlineStr">
        <is>
          <t>③ Chatbot回答 [円/月]</t>
        </is>
      </c>
      <c r="C7" s="5">
        <f>計算!C48</f>
        <v/>
      </c>
      <c r="D7" s="5">
        <f>計算!D48</f>
        <v/>
      </c>
      <c r="E7" s="5">
        <f>計算!E48</f>
        <v/>
      </c>
      <c r="F7" s="6" t="inlineStr">
        <is>
          <t>利用者数×質問数にほぼ比例</t>
        </is>
      </c>
    </row>
    <row r="8">
      <c r="B8" s="7" t="inlineStr">
        <is>
          <t>月額合計 [円]</t>
        </is>
      </c>
      <c r="C8" s="8">
        <f>計算!C57</f>
        <v/>
      </c>
      <c r="D8" s="8">
        <f>計算!D57</f>
        <v/>
      </c>
      <c r="E8" s="8">
        <f>計算!E57</f>
        <v/>
      </c>
      <c r="F8" s="6" t="inlineStr"/>
    </row>
    <row r="9">
      <c r="B9" s="7" t="inlineStr">
        <is>
          <t>年額概算 [円]</t>
        </is>
      </c>
      <c r="C9" s="8">
        <f>計算!C58</f>
        <v/>
      </c>
      <c r="D9" s="8">
        <f>計算!D58</f>
        <v/>
      </c>
      <c r="E9" s="8">
        <f>計算!E58</f>
        <v/>
      </c>
      <c r="F9" s="6" t="inlineStr"/>
    </row>
    <row r="11">
      <c r="B11" s="9" t="inlineStr">
        <is>
          <t>■ 注意事項</t>
        </is>
      </c>
    </row>
    <row r="12">
      <c r="B12" s="10" t="inlineStr">
        <is>
          <t>・コスト増の主要因: 300名では Azure AI Search を Basic→Standard S0 へ変更が必要（Basic $73→Standard S0 $250）</t>
        </is>
      </c>
    </row>
    <row r="13">
      <c r="B13" s="10" t="inlineStr">
        <is>
          <t>・ナレッジ更新コストは更新対象ファイル数が変わらなければ利用者数に関係なく一定</t>
        </is>
      </c>
    </row>
    <row r="14">
      <c r="B14" s="10" t="inlineStr">
        <is>
          <t>・Chatbot回答コストは利用者数・質問数に比例して増加（1QA単価は常に¥0.378）</t>
        </is>
      </c>
    </row>
    <row r="15">
      <c r="B15" s="10" t="inlineStr">
        <is>
          <t>・黄色セル（利用者数・1日あたり質問数）の値を変更すると全コストが自動再計算されます</t>
        </is>
      </c>
    </row>
  </sheetData>
  <mergeCells count="7">
    <mergeCell ref="B12:F12"/>
    <mergeCell ref="B2:F2"/>
    <mergeCell ref="B15:F15"/>
    <mergeCell ref="B11:F11"/>
    <mergeCell ref="B1:F1"/>
    <mergeCell ref="B14:F14"/>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29"/>
  <sheetViews>
    <sheetView workbookViewId="0">
      <selection activeCell="A1" sqref="A1"/>
    </sheetView>
  </sheetViews>
  <sheetFormatPr baseColWidth="8" defaultRowHeight="15"/>
  <cols>
    <col width="2" customWidth="1" min="1" max="1"/>
    <col width="36" customWidth="1" min="2" max="2"/>
    <col width="20" customWidth="1" min="3" max="3"/>
    <col width="20" customWidth="1" min="4" max="4"/>
    <col width="30" customWidth="1" min="5" max="5"/>
  </cols>
  <sheetData>
    <row r="1" ht="26" customHeight="1">
      <c r="B1" s="11" t="inlineStr">
        <is>
          <t>単価表・参照データ（2026年2月時点）</t>
        </is>
      </c>
    </row>
    <row r="3">
      <c r="B3" s="12" t="inlineStr">
        <is>
          <t>■ AIモデル単価</t>
        </is>
      </c>
    </row>
    <row r="4">
      <c r="B4" s="3" t="inlineStr">
        <is>
          <t>モデル名</t>
        </is>
      </c>
      <c r="C4" s="3" t="inlineStr">
        <is>
          <t>Input ($/1Mトークン)</t>
        </is>
      </c>
      <c r="D4" s="3" t="inlineStr">
        <is>
          <t>Output ($/1Mトークン)</t>
        </is>
      </c>
    </row>
    <row r="5">
      <c r="B5" s="4" t="inlineStr">
        <is>
          <t>gpt-5-mini</t>
        </is>
      </c>
      <c r="C5" s="13" t="n">
        <v>0.25</v>
      </c>
      <c r="D5" s="14" t="n">
        <v>2</v>
      </c>
    </row>
    <row r="6">
      <c r="B6" s="4" t="inlineStr">
        <is>
          <t>gpt-5.1</t>
        </is>
      </c>
      <c r="C6" s="13" t="n">
        <v>1.25</v>
      </c>
      <c r="D6" s="14" t="n">
        <v>10</v>
      </c>
    </row>
    <row r="7">
      <c r="B7" s="4" t="inlineStr">
        <is>
          <t>text-embedding-3-large</t>
        </is>
      </c>
      <c r="C7" s="13" t="n">
        <v>0.13</v>
      </c>
      <c r="D7" s="14" t="inlineStr">
        <is>
          <t>—</t>
        </is>
      </c>
    </row>
    <row r="9">
      <c r="B9" s="12" t="inlineStr">
        <is>
          <t>■ Azure 固定費（月額）</t>
        </is>
      </c>
    </row>
    <row r="10">
      <c r="B10" s="3" t="inlineStr">
        <is>
          <t>リソース</t>
        </is>
      </c>
      <c r="C10" s="3" t="inlineStr">
        <is>
          <t>Basic 月額(USD)</t>
        </is>
      </c>
      <c r="D10" s="3" t="inlineStr">
        <is>
          <t>Standard 月額(USD)</t>
        </is>
      </c>
      <c r="E10" s="3" t="inlineStr">
        <is>
          <t>プラン備考</t>
        </is>
      </c>
    </row>
    <row r="11">
      <c r="B11" s="4" t="inlineStr">
        <is>
          <t>Azure AI Search</t>
        </is>
      </c>
      <c r="C11" s="13" t="n">
        <v>73</v>
      </c>
      <c r="D11" s="13" t="n">
        <v>250</v>
      </c>
      <c r="E11" s="4" t="inlineStr">
        <is>
          <t>Basic / Standard S0</t>
        </is>
      </c>
    </row>
    <row r="12">
      <c r="B12" s="4" t="inlineStr">
        <is>
          <t>App Service Plan</t>
        </is>
      </c>
      <c r="C12" s="13" t="n">
        <v>13</v>
      </c>
      <c r="D12" s="13" t="n">
        <v>100</v>
      </c>
      <c r="E12" s="4" t="inlineStr">
        <is>
          <t>B1 / S2</t>
        </is>
      </c>
    </row>
    <row r="13">
      <c r="B13" s="4" t="inlineStr">
        <is>
          <t>Azure SQL Database</t>
        </is>
      </c>
      <c r="C13" s="13" t="n">
        <v>4.9</v>
      </c>
      <c r="D13" s="13" t="n">
        <v>75</v>
      </c>
      <c r="E13" s="4" t="inlineStr">
        <is>
          <t>Basic 5DTU / S2</t>
        </is>
      </c>
    </row>
    <row r="15">
      <c r="B15" s="12" t="inlineStr">
        <is>
          <t>■ Knowledge Maker 処理パラメータ</t>
        </is>
      </c>
    </row>
    <row r="16">
      <c r="B16" s="3" t="inlineStr">
        <is>
          <t>パラメータ</t>
        </is>
      </c>
      <c r="C16" s="3" t="inlineStr">
        <is>
          <t>値</t>
        </is>
      </c>
      <c r="D16" s="3" t="inlineStr">
        <is>
          <t>備考</t>
        </is>
      </c>
      <c r="E16" s="15" t="n"/>
    </row>
    <row r="17">
      <c r="B17" s="4" t="inlineStr">
        <is>
          <t>1画像あたり Input トークン</t>
        </is>
      </c>
      <c r="C17" s="5" t="n">
        <v>1500</v>
      </c>
      <c r="D17" s="4" t="inlineStr">
        <is>
          <t>Vision API prompt + image</t>
        </is>
      </c>
      <c r="E17" s="15" t="n"/>
    </row>
    <row r="18">
      <c r="B18" s="4" t="inlineStr">
        <is>
          <t>1画像あたり Output トークン</t>
        </is>
      </c>
      <c r="C18" s="5" t="n">
        <v>500</v>
      </c>
      <c r="D18" s="4" t="inlineStr">
        <is>
          <t>画像説明テキスト</t>
        </is>
      </c>
      <c r="E18" s="15" t="n"/>
    </row>
    <row r="19">
      <c r="B19" s="4" t="inlineStr">
        <is>
          <t>日本語 文字→トークン 変換係数</t>
        </is>
      </c>
      <c r="C19" s="5" t="n">
        <v>0.5</v>
      </c>
      <c r="D19" s="4" t="inlineStr">
        <is>
          <t>1文字 ≒ 0.5トークン</t>
        </is>
      </c>
      <c r="E19" s="15" t="n"/>
    </row>
    <row r="20">
      <c r="B20" s="4" t="inlineStr">
        <is>
          <t>Step2 テンプレートトークン</t>
        </is>
      </c>
      <c r="C20" s="5" t="n">
        <v>2000</v>
      </c>
      <c r="D20" s="4" t="inlineStr">
        <is>
          <t>フォーマット指示</t>
        </is>
      </c>
      <c r="E20" s="15" t="n"/>
    </row>
    <row r="21">
      <c r="B21" s="4" t="inlineStr">
        <is>
          <t>Step3 構造提案 Input トークン</t>
        </is>
      </c>
      <c r="C21" s="5" t="n">
        <v>10000</v>
      </c>
      <c r="D21" s="4" t="inlineStr">
        <is>
          <t>全資料要約を含む</t>
        </is>
      </c>
      <c r="E21" s="15" t="n"/>
    </row>
    <row r="22">
      <c r="B22" s="4" t="inlineStr">
        <is>
          <t>Step3 構造提案 Output トークン</t>
        </is>
      </c>
      <c r="C22" s="5" t="n">
        <v>8000</v>
      </c>
      <c r="D22" s="4" t="inlineStr">
        <is>
          <t>フォルダ構造JSON</t>
        </is>
      </c>
      <c r="E22" s="15" t="n"/>
    </row>
    <row r="23">
      <c r="B23" s="4" t="inlineStr">
        <is>
          <t>Step3 要約 Input トークン/ファイル</t>
        </is>
      </c>
      <c r="C23" s="5" t="n">
        <v>2000</v>
      </c>
      <c r="D23" s="4" t="inlineStr"/>
      <c r="E23" s="15" t="n"/>
    </row>
    <row r="24">
      <c r="B24" s="4" t="inlineStr">
        <is>
          <t>Step3 要約 Output トークン/ファイル</t>
        </is>
      </c>
      <c r="C24" s="5" t="n">
        <v>2000</v>
      </c>
      <c r="D24" s="4" t="inlineStr"/>
      <c r="E24" s="15" t="n"/>
    </row>
    <row r="25">
      <c r="B25" s="12" t="inlineStr">
        <is>
          <t>■ Chat 処理パラメータ</t>
        </is>
      </c>
    </row>
    <row r="26">
      <c r="B26" s="3" t="inlineStr">
        <is>
          <t>パラメータ</t>
        </is>
      </c>
      <c r="C26" s="3" t="inlineStr">
        <is>
          <t>値</t>
        </is>
      </c>
      <c r="D26" s="3" t="inlineStr">
        <is>
          <t>備考</t>
        </is>
      </c>
      <c r="E26" s="15" t="n"/>
    </row>
    <row r="27">
      <c r="B27" s="4" t="inlineStr">
        <is>
          <t>1質問あたり Input トークン</t>
        </is>
      </c>
      <c r="C27" s="5" t="n">
        <v>4000</v>
      </c>
      <c r="D27" s="4" t="inlineStr">
        <is>
          <t>システムプロンプト + 検索結果20件</t>
        </is>
      </c>
      <c r="E27" s="15" t="n"/>
    </row>
    <row r="28">
      <c r="B28" s="4" t="inlineStr">
        <is>
          <t>1質問あたり Output トークン</t>
        </is>
      </c>
      <c r="C28" s="5" t="n">
        <v>500</v>
      </c>
      <c r="D28" s="4" t="inlineStr">
        <is>
          <t>回答テキスト</t>
        </is>
      </c>
      <c r="E28" s="15" t="n"/>
    </row>
    <row r="29">
      <c r="B29" s="4" t="inlineStr">
        <is>
          <t>Embedding クエリトークン/質問</t>
        </is>
      </c>
      <c r="C29" s="5" t="n">
        <v>100</v>
      </c>
      <c r="D29" s="4" t="inlineStr">
        <is>
          <t>質問文のベクトル化</t>
        </is>
      </c>
      <c r="E29" s="15" t="n"/>
    </row>
  </sheetData>
  <mergeCells count="18">
    <mergeCell ref="D20:E20"/>
    <mergeCell ref="B9:E9"/>
    <mergeCell ref="B1:E1"/>
    <mergeCell ref="D16:E16"/>
    <mergeCell ref="D24:E24"/>
    <mergeCell ref="D19:E19"/>
    <mergeCell ref="D29:E29"/>
    <mergeCell ref="D27:E27"/>
    <mergeCell ref="D23:E23"/>
    <mergeCell ref="B15:E15"/>
    <mergeCell ref="D28:E28"/>
    <mergeCell ref="B25:E25"/>
    <mergeCell ref="B3:E3"/>
    <mergeCell ref="D22:E22"/>
    <mergeCell ref="D18:E18"/>
    <mergeCell ref="D26:E26"/>
    <mergeCell ref="D17:E17"/>
    <mergeCell ref="D21:E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F58"/>
  <sheetViews>
    <sheetView workbookViewId="0">
      <selection activeCell="A1" sqref="A1"/>
    </sheetView>
  </sheetViews>
  <sheetFormatPr baseColWidth="8" defaultRowHeight="15"/>
  <cols>
    <col width="2" customWidth="1" min="1" max="1"/>
    <col width="34" customWidth="1" min="2" max="2"/>
    <col width="17" customWidth="1" min="3" max="3"/>
    <col width="17" customWidth="1" min="4" max="4"/>
    <col width="17" customWidth="1" min="5" max="5"/>
    <col width="12" customWidth="1" min="6" max="6"/>
  </cols>
  <sheetData>
    <row r="1" ht="28" customHeight="1">
      <c r="B1" s="1" t="inlineStr">
        <is>
          <t>EC業務ナレッジ チャットボット 月額コスト試算</t>
        </is>
      </c>
    </row>
    <row r="2">
      <c r="B2" s="16" t="inlineStr">
        <is>
          <t>※ 黄色セルの数値を変更すると自動再計算されます</t>
        </is>
      </c>
    </row>
    <row r="3">
      <c r="B3" s="3" t="inlineStr">
        <is>
          <t>項目</t>
        </is>
      </c>
      <c r="C3" s="3" t="inlineStr">
        <is>
          <t>現状（30名）</t>
        </is>
      </c>
      <c r="D3" s="3" t="inlineStr">
        <is>
          <t>6万円（150名）</t>
        </is>
      </c>
      <c r="E3" s="3" t="inlineStr">
        <is>
          <t>300名</t>
        </is>
      </c>
      <c r="F3" s="3" t="inlineStr">
        <is>
          <t>単位</t>
        </is>
      </c>
    </row>
    <row r="5">
      <c r="B5" s="12" t="inlineStr">
        <is>
          <t>■ 主要変数</t>
        </is>
      </c>
    </row>
    <row r="6">
      <c r="B6" s="17" t="inlineStr">
        <is>
          <t>項目</t>
        </is>
      </c>
      <c r="C6" s="17" t="inlineStr">
        <is>
          <t>現状（30名）</t>
        </is>
      </c>
      <c r="D6" s="17" t="inlineStr">
        <is>
          <t>6万円（150名）</t>
        </is>
      </c>
      <c r="E6" s="17" t="inlineStr">
        <is>
          <t>300名</t>
        </is>
      </c>
      <c r="F6" s="17" t="inlineStr">
        <is>
          <t>単位</t>
        </is>
      </c>
    </row>
    <row r="7">
      <c r="B7" s="4" t="inlineStr">
        <is>
          <t>ナレッジ更新回数/月</t>
        </is>
      </c>
      <c r="C7" s="5" t="n">
        <v>4</v>
      </c>
      <c r="D7" s="5" t="n">
        <v>4</v>
      </c>
      <c r="E7" s="5" t="n">
        <v>4</v>
      </c>
      <c r="F7" s="18" t="inlineStr">
        <is>
          <t>回/月</t>
        </is>
      </c>
    </row>
    <row r="8">
      <c r="B8" s="4" t="inlineStr">
        <is>
          <t>1回あたり処理資料数</t>
        </is>
      </c>
      <c r="C8" s="5" t="n">
        <v>4</v>
      </c>
      <c r="D8" s="5" t="n">
        <v>4</v>
      </c>
      <c r="E8" s="5" t="n">
        <v>4</v>
      </c>
      <c r="F8" s="18" t="inlineStr">
        <is>
          <t>件</t>
        </is>
      </c>
    </row>
    <row r="9">
      <c r="B9" s="4" t="inlineStr">
        <is>
          <t>1資料あたり平均文字数</t>
        </is>
      </c>
      <c r="C9" s="5" t="n">
        <v>350000</v>
      </c>
      <c r="D9" s="5" t="n">
        <v>350000</v>
      </c>
      <c r="E9" s="5" t="n">
        <v>350000</v>
      </c>
      <c r="F9" s="18" t="inlineStr">
        <is>
          <t>字</t>
        </is>
      </c>
    </row>
    <row r="10">
      <c r="B10" s="4" t="inlineStr">
        <is>
          <t>1資料あたり平均画像数</t>
        </is>
      </c>
      <c r="C10" s="5" t="n">
        <v>250</v>
      </c>
      <c r="D10" s="5" t="n">
        <v>250</v>
      </c>
      <c r="E10" s="5" t="n">
        <v>250</v>
      </c>
      <c r="F10" s="18" t="inlineStr">
        <is>
          <t>枚</t>
        </is>
      </c>
    </row>
    <row r="11">
      <c r="B11" s="4" t="inlineStr">
        <is>
          <t>1日あたりチャット質問数</t>
        </is>
      </c>
      <c r="C11" s="19" t="n">
        <v>20</v>
      </c>
      <c r="D11" s="19" t="n">
        <v>25</v>
      </c>
      <c r="E11" s="19" t="n">
        <v>25</v>
      </c>
      <c r="F11" s="18" t="inlineStr">
        <is>
          <t>件/日</t>
        </is>
      </c>
    </row>
    <row r="12">
      <c r="B12" s="4" t="inlineStr">
        <is>
          <t>利用者数</t>
        </is>
      </c>
      <c r="C12" s="19" t="n">
        <v>30</v>
      </c>
      <c r="D12" s="19" t="n">
        <v>150</v>
      </c>
      <c r="E12" s="19" t="n">
        <v>300</v>
      </c>
      <c r="F12" s="18" t="inlineStr">
        <is>
          <t>人</t>
        </is>
      </c>
    </row>
    <row r="13">
      <c r="B13" s="4" t="inlineStr">
        <is>
          <t>月間営業日</t>
        </is>
      </c>
      <c r="C13" s="5" t="n">
        <v>22</v>
      </c>
      <c r="D13" s="5" t="n">
        <v>22</v>
      </c>
      <c r="E13" s="5" t="n">
        <v>22</v>
      </c>
      <c r="F13" s="18" t="inlineStr">
        <is>
          <t>日</t>
        </is>
      </c>
    </row>
    <row r="14">
      <c r="B14" s="4" t="inlineStr">
        <is>
          <t>Agent平均検索ラウンド数</t>
        </is>
      </c>
      <c r="C14" s="14" t="n">
        <v>1.5</v>
      </c>
      <c r="D14" s="14" t="n">
        <v>1.5</v>
      </c>
      <c r="E14" s="14" t="n">
        <v>1.5</v>
      </c>
      <c r="F14" s="18" t="inlineStr">
        <is>
          <t>回</t>
        </is>
      </c>
    </row>
    <row r="15">
      <c r="B15" s="4" t="inlineStr">
        <is>
          <t>為替レート (USD→JPY)</t>
        </is>
      </c>
      <c r="C15" s="5" t="n">
        <v>150</v>
      </c>
      <c r="D15" s="5" t="n">
        <v>150</v>
      </c>
      <c r="E15" s="5" t="n">
        <v>150</v>
      </c>
      <c r="F15" s="18" t="inlineStr">
        <is>
          <t>円/USD</t>
        </is>
      </c>
    </row>
    <row r="18">
      <c r="B18" s="12" t="inlineStr">
        <is>
          <t>① ナレッジ更新コスト（Knowledge Maker API費用）</t>
        </is>
      </c>
    </row>
    <row r="19">
      <c r="B19" s="17" t="inlineStr">
        <is>
          <t>項目</t>
        </is>
      </c>
      <c r="C19" s="17" t="inlineStr">
        <is>
          <t>現状（30名）</t>
        </is>
      </c>
      <c r="D19" s="17" t="inlineStr">
        <is>
          <t>6万円（150名）</t>
        </is>
      </c>
      <c r="E19" s="17" t="inlineStr">
        <is>
          <t>300名</t>
        </is>
      </c>
      <c r="F19" s="17" t="inlineStr">
        <is>
          <t>単位</t>
        </is>
      </c>
    </row>
    <row r="20">
      <c r="B20" s="4" t="inlineStr">
        <is>
          <t>Step1 Input  (画像×1500tok) [USD]</t>
        </is>
      </c>
      <c r="C20" s="20">
        <f>C10*単価表!C17/1000000*単価表!C5</f>
        <v/>
      </c>
      <c r="D20" s="20">
        <f>D10*単価表!C17/1000000*単価表!C5</f>
        <v/>
      </c>
      <c r="E20" s="20">
        <f>E10*単価表!C17/1000000*単価表!C5</f>
        <v/>
      </c>
      <c r="F20" s="21" t="inlineStr">
        <is>
          <t>USD/資料</t>
        </is>
      </c>
    </row>
    <row r="21">
      <c r="B21" s="4" t="inlineStr">
        <is>
          <t>Step1 Output (画像×500tok)  [USD]</t>
        </is>
      </c>
      <c r="C21" s="20">
        <f>C10*単価表!C18/1000000*単価表!D5</f>
        <v/>
      </c>
      <c r="D21" s="20">
        <f>D10*単価表!C18/1000000*単価表!D5</f>
        <v/>
      </c>
      <c r="E21" s="20">
        <f>E10*単価表!C18/1000000*単価表!D5</f>
        <v/>
      </c>
      <c r="F21" s="21" t="inlineStr">
        <is>
          <t>USD/資料</t>
        </is>
      </c>
    </row>
    <row r="22">
      <c r="B22" s="4" t="inlineStr">
        <is>
          <t>Step2 Input  (文字×0.5tok)  [USD]</t>
        </is>
      </c>
      <c r="C22" s="20">
        <f>C9*単価表!C19/1000000*単価表!C6</f>
        <v/>
      </c>
      <c r="D22" s="20">
        <f>D9*単価表!C19/1000000*単価表!C6</f>
        <v/>
      </c>
      <c r="E22" s="20">
        <f>E9*単価表!C19/1000000*単価表!C6</f>
        <v/>
      </c>
      <c r="F22" s="21" t="inlineStr">
        <is>
          <t>USD/資料</t>
        </is>
      </c>
    </row>
    <row r="23">
      <c r="B23" s="4" t="inlineStr">
        <is>
          <t>Step2 Output (文字×0.5tok)  [USD]</t>
        </is>
      </c>
      <c r="C23" s="20">
        <f>C9*単価表!C19/1000000*単価表!D6</f>
        <v/>
      </c>
      <c r="D23" s="20">
        <f>D9*単価表!C19/1000000*単価表!D6</f>
        <v/>
      </c>
      <c r="E23" s="20">
        <f>E9*単価表!C19/1000000*単価表!D6</f>
        <v/>
      </c>
      <c r="F23" s="21" t="inlineStr">
        <is>
          <t>USD/資料</t>
        </is>
      </c>
    </row>
    <row r="24">
      <c r="B24" s="4" t="inlineStr">
        <is>
          <t>Step3 構造提案+要約生成      [USD]</t>
        </is>
      </c>
      <c r="C24" s="20">
        <f>(単価表!C21+単価表!C23*C8)/1000000*単価表!C6+(単価表!C22+単価表!C24*C8)/1000000*単価表!D6</f>
        <v/>
      </c>
      <c r="D24" s="20">
        <f>(単価表!C21+単価表!C23*D8)/1000000*単価表!C6+(単価表!C22+単価表!C24*D8)/1000000*単価表!D6</f>
        <v/>
      </c>
      <c r="E24" s="20">
        <f>(単価表!C21+単価表!C23*E8)/1000000*単価表!C6+(単価表!C22+単価表!C24*E8)/1000000*単価表!D6</f>
        <v/>
      </c>
      <c r="F24" s="21" t="inlineStr">
        <is>
          <t>USD/資料</t>
        </is>
      </c>
    </row>
    <row r="25">
      <c r="B25" s="22" t="inlineStr">
        <is>
          <t>1資料あたりコスト [USD]</t>
        </is>
      </c>
      <c r="C25" s="23">
        <f>SUM(C20:C24)</f>
        <v/>
      </c>
      <c r="D25" s="23">
        <f>SUM(D20:D24)</f>
        <v/>
      </c>
      <c r="E25" s="23">
        <f>SUM(E20:E24)</f>
        <v/>
      </c>
    </row>
    <row r="26">
      <c r="B26" s="22" t="inlineStr">
        <is>
          <t>1回あたりコスト [USD]</t>
        </is>
      </c>
      <c r="C26" s="24">
        <f>C25*C8</f>
        <v/>
      </c>
      <c r="D26" s="24">
        <f>D25*D8</f>
        <v/>
      </c>
      <c r="E26" s="24">
        <f>E25*E8</f>
        <v/>
      </c>
    </row>
    <row r="27">
      <c r="B27" s="22" t="inlineStr">
        <is>
          <t>月間コスト [USD]</t>
        </is>
      </c>
      <c r="C27" s="24">
        <f>C26*C7</f>
        <v/>
      </c>
      <c r="D27" s="24">
        <f>D26*D7</f>
        <v/>
      </c>
      <c r="E27" s="24">
        <f>E26*E7</f>
        <v/>
      </c>
    </row>
    <row r="28">
      <c r="B28" s="25" t="inlineStr">
        <is>
          <t>★ 月間コスト [円]</t>
        </is>
      </c>
      <c r="C28" s="26">
        <f>C27*C15</f>
        <v/>
      </c>
      <c r="D28" s="26">
        <f>D27*D15</f>
        <v/>
      </c>
      <c r="E28" s="26">
        <f>E27*E15</f>
        <v/>
      </c>
    </row>
    <row r="31">
      <c r="B31" s="12" t="inlineStr">
        <is>
          <t>② インフラコスト（Azure固定費）</t>
        </is>
      </c>
    </row>
    <row r="32">
      <c r="B32" s="17" t="inlineStr">
        <is>
          <t>リソース</t>
        </is>
      </c>
      <c r="C32" s="17" t="inlineStr">
        <is>
          <t>現状（30名）</t>
        </is>
      </c>
      <c r="D32" s="17" t="inlineStr">
        <is>
          <t>6万円（150名）</t>
        </is>
      </c>
      <c r="E32" s="17" t="inlineStr">
        <is>
          <t>300名</t>
        </is>
      </c>
      <c r="F32" s="17" t="inlineStr">
        <is>
          <t>プラン</t>
        </is>
      </c>
    </row>
    <row r="33">
      <c r="B33" s="4" t="inlineStr">
        <is>
          <t>Azure AI Search</t>
        </is>
      </c>
      <c r="C33" s="13">
        <f>単価表!C11</f>
        <v/>
      </c>
      <c r="D33" s="13">
        <f>単価表!C11</f>
        <v/>
      </c>
      <c r="E33" s="13">
        <f>単価表!D11</f>
        <v/>
      </c>
      <c r="F33" s="6" t="inlineStr">
        <is>
          <t>Basic / Basic / Standard S0</t>
        </is>
      </c>
    </row>
    <row r="34">
      <c r="B34" s="4" t="inlineStr">
        <is>
          <t>App Service Plan</t>
        </is>
      </c>
      <c r="C34" s="13">
        <f>単価表!C12</f>
        <v/>
      </c>
      <c r="D34" s="13">
        <f>50</f>
        <v/>
      </c>
      <c r="E34" s="13">
        <f>100</f>
        <v/>
      </c>
      <c r="F34" s="6" t="inlineStr">
        <is>
          <t>B1 / S1 / S2</t>
        </is>
      </c>
    </row>
    <row r="35">
      <c r="B35" s="4" t="inlineStr">
        <is>
          <t>Azure SQL Database</t>
        </is>
      </c>
      <c r="C35" s="13">
        <f>単価表!C13</f>
        <v/>
      </c>
      <c r="D35" s="13">
        <f>30</f>
        <v/>
      </c>
      <c r="E35" s="13">
        <f>75</f>
        <v/>
      </c>
      <c r="F35" s="6" t="inlineStr">
        <is>
          <t>Basic / S1 / S2</t>
        </is>
      </c>
    </row>
    <row r="36">
      <c r="B36" s="4" t="inlineStr">
        <is>
          <t>Azure OpenAI</t>
        </is>
      </c>
      <c r="C36" s="13">
        <f>0</f>
        <v/>
      </c>
      <c r="D36" s="13">
        <f>0</f>
        <v/>
      </c>
      <c r="E36" s="13">
        <f>0</f>
        <v/>
      </c>
      <c r="F36" s="6" t="inlineStr">
        <is>
          <t>S0 従量課金（全シナリオ共通）</t>
        </is>
      </c>
    </row>
    <row r="37">
      <c r="B37" s="22" t="inlineStr">
        <is>
          <t>月間コスト [USD]</t>
        </is>
      </c>
      <c r="C37" s="24">
        <f>SUM(C33:C36)</f>
        <v/>
      </c>
      <c r="D37" s="24">
        <f>SUM(D33:D36)</f>
        <v/>
      </c>
      <c r="E37" s="24">
        <f>SUM(E33:E36)</f>
        <v/>
      </c>
    </row>
    <row r="38">
      <c r="B38" s="25" t="inlineStr">
        <is>
          <t>★ 月間コスト [円]</t>
        </is>
      </c>
      <c r="C38" s="26">
        <f>C37*C15</f>
        <v/>
      </c>
      <c r="D38" s="26">
        <f>D37*D15</f>
        <v/>
      </c>
      <c r="E38" s="26">
        <f>E37*E15</f>
        <v/>
      </c>
    </row>
    <row r="41">
      <c r="B41" s="12" t="inlineStr">
        <is>
          <t>③ Chatbot回答コスト（従量課金）</t>
        </is>
      </c>
    </row>
    <row r="42">
      <c r="B42" s="17" t="inlineStr">
        <is>
          <t>項目</t>
        </is>
      </c>
      <c r="C42" s="17" t="inlineStr">
        <is>
          <t>現状（30名）</t>
        </is>
      </c>
      <c r="D42" s="17" t="inlineStr">
        <is>
          <t>6万円（150名）</t>
        </is>
      </c>
      <c r="E42" s="17" t="inlineStr">
        <is>
          <t>300名</t>
        </is>
      </c>
      <c r="F42" s="17" t="inlineStr">
        <is>
          <t>単位</t>
        </is>
      </c>
    </row>
    <row r="43">
      <c r="B43" s="4" t="inlineStr">
        <is>
          <t>月間質問数</t>
        </is>
      </c>
      <c r="C43" s="5">
        <f>C11*C12*C13</f>
        <v/>
      </c>
      <c r="D43" s="5">
        <f>D11*D12*D13</f>
        <v/>
      </c>
      <c r="E43" s="5">
        <f>E11*E12*E13</f>
        <v/>
      </c>
      <c r="F43" s="18" t="inlineStr">
        <is>
          <t>件/月</t>
        </is>
      </c>
    </row>
    <row r="44">
      <c r="B44" s="4" t="inlineStr">
        <is>
          <t>gpt-5-mini Input [USD]</t>
        </is>
      </c>
      <c r="C44" s="13">
        <f>C43*単価表!C27*C14/1000000*単価表!C5</f>
        <v/>
      </c>
      <c r="D44" s="13">
        <f>D43*単価表!C27*D14/1000000*単価表!C5</f>
        <v/>
      </c>
      <c r="E44" s="13">
        <f>E43*単価表!C27*E14/1000000*単価表!C5</f>
        <v/>
      </c>
    </row>
    <row r="45">
      <c r="B45" s="4" t="inlineStr">
        <is>
          <t>gpt-5-mini Output [USD]</t>
        </is>
      </c>
      <c r="C45" s="13">
        <f>C43*単価表!C28/1000000*単価表!D5</f>
        <v/>
      </c>
      <c r="D45" s="13">
        <f>D43*単価表!C28/1000000*単価表!D5</f>
        <v/>
      </c>
      <c r="E45" s="13">
        <f>E43*単価表!C28/1000000*単価表!D5</f>
        <v/>
      </c>
    </row>
    <row r="46">
      <c r="B46" s="4" t="inlineStr">
        <is>
          <t>Embedding [USD]</t>
        </is>
      </c>
      <c r="C46" s="20">
        <f>C43*単価表!C29*C14/1000000*単価表!C7</f>
        <v/>
      </c>
      <c r="D46" s="20">
        <f>D43*単価表!C29*D14/1000000*単価表!C7</f>
        <v/>
      </c>
      <c r="E46" s="20">
        <f>E43*単価表!C29*E14/1000000*単価表!C7</f>
        <v/>
      </c>
    </row>
    <row r="47">
      <c r="B47" s="22" t="inlineStr">
        <is>
          <t>月間コスト [USD]</t>
        </is>
      </c>
      <c r="C47" s="24">
        <f>SUM(C44:C46)</f>
        <v/>
      </c>
      <c r="D47" s="24">
        <f>SUM(D44:D46)</f>
        <v/>
      </c>
      <c r="E47" s="24">
        <f>SUM(E44:E46)</f>
        <v/>
      </c>
    </row>
    <row r="48">
      <c r="B48" s="25" t="inlineStr">
        <is>
          <t>★ 月間コスト [円]</t>
        </is>
      </c>
      <c r="C48" s="26">
        <f>C47*C15</f>
        <v/>
      </c>
      <c r="D48" s="26">
        <f>D47*D15</f>
        <v/>
      </c>
      <c r="E48" s="26">
        <f>E47*E15</f>
        <v/>
      </c>
    </row>
    <row r="49">
      <c r="B49" s="4" t="inlineStr">
        <is>
          <t>1QAあたり単価 [円]</t>
        </is>
      </c>
      <c r="C49" s="27">
        <f>C48/C43</f>
        <v/>
      </c>
      <c r="D49" s="27">
        <f>D48/D43</f>
        <v/>
      </c>
      <c r="E49" s="27">
        <f>E48/E43</f>
        <v/>
      </c>
    </row>
    <row r="52">
      <c r="B52" s="28" t="inlineStr">
        <is>
          <t>月額コスト まとめ</t>
        </is>
      </c>
    </row>
    <row r="53">
      <c r="B53" s="3" t="inlineStr">
        <is>
          <t>カテゴリ</t>
        </is>
      </c>
      <c r="C53" s="3" t="inlineStr">
        <is>
          <t>現状（30名）</t>
        </is>
      </c>
      <c r="D53" s="3" t="inlineStr">
        <is>
          <t>6万円（150名）</t>
        </is>
      </c>
      <c r="E53" s="3" t="inlineStr">
        <is>
          <t>300名</t>
        </is>
      </c>
      <c r="F53" s="3" t="inlineStr">
        <is>
          <t>備考</t>
        </is>
      </c>
    </row>
    <row r="54">
      <c r="B54" s="4" t="inlineStr">
        <is>
          <t>① ナレッジ更新コスト [円]</t>
        </is>
      </c>
      <c r="C54" s="5">
        <f>C28</f>
        <v/>
      </c>
      <c r="D54" s="5">
        <f>D28</f>
        <v/>
      </c>
      <c r="E54" s="5">
        <f>E28</f>
        <v/>
      </c>
    </row>
    <row r="55">
      <c r="B55" s="4" t="inlineStr">
        <is>
          <t>② インフラコスト [円]</t>
        </is>
      </c>
      <c r="C55" s="5">
        <f>C38</f>
        <v/>
      </c>
      <c r="D55" s="5">
        <f>D38</f>
        <v/>
      </c>
      <c r="E55" s="5">
        <f>E38</f>
        <v/>
      </c>
    </row>
    <row r="56">
      <c r="B56" s="4" t="inlineStr">
        <is>
          <t>③ Chatbot回答コスト [円]</t>
        </is>
      </c>
      <c r="C56" s="5">
        <f>C48</f>
        <v/>
      </c>
      <c r="D56" s="5">
        <f>D48</f>
        <v/>
      </c>
      <c r="E56" s="5">
        <f>E48</f>
        <v/>
      </c>
    </row>
    <row r="57">
      <c r="B57" s="7" t="inlineStr">
        <is>
          <t>月額合計 [円]</t>
        </is>
      </c>
      <c r="C57" s="8">
        <f>SUM(C54:C56)</f>
        <v/>
      </c>
      <c r="D57" s="8">
        <f>SUM(D54:D56)</f>
        <v/>
      </c>
      <c r="E57" s="8">
        <f>SUM(E54:E56)</f>
        <v/>
      </c>
    </row>
    <row r="58">
      <c r="B58" s="7" t="inlineStr">
        <is>
          <t>年額概算 [円]</t>
        </is>
      </c>
      <c r="C58" s="8">
        <f>C57*12</f>
        <v/>
      </c>
      <c r="D58" s="8">
        <f>D57*12</f>
        <v/>
      </c>
      <c r="E58" s="8">
        <f>E57*12</f>
        <v/>
      </c>
    </row>
  </sheetData>
  <mergeCells count="7">
    <mergeCell ref="B2:F2"/>
    <mergeCell ref="B5:F5"/>
    <mergeCell ref="B31:F31"/>
    <mergeCell ref="B1:F1"/>
    <mergeCell ref="B41:F41"/>
    <mergeCell ref="B18:F18"/>
    <mergeCell ref="B52:F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2026-04-24T00:38:51Z</dcterms:created>
  <dcterms:modified xmlns:dcterms="http://purl.org/dc/terms/" xmlns:xsi="http://www.w3.org/2001/XMLSchema-instance" xsi:type="dcterms:W3CDTF">2026-04-24T00:38:51Z</dcterms:modified>
</cp:coreProperties>
</file>